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ed Advances" sheetId="1" state="visible" r:id="rId1"/>
    <sheet xmlns:r="http://schemas.openxmlformats.org/officeDocument/2006/relationships" name="Credit 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000%"/>
  </numFmts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165" fontId="3" fillId="0" borderId="0" pivotButton="0" quotePrefix="0" xfId="0"/>
    <xf numFmtId="3" fontId="3" fillId="0" borderId="0" pivotButton="0" quotePrefix="0" xfId="0"/>
    <xf numFmtId="4" fontId="3" fillId="0" borderId="0" pivotButton="0" quotePrefix="0" xfId="0"/>
    <xf numFmtId="166" fontId="3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12" customWidth="1" min="5" max="5"/>
    <col width="16" customWidth="1" min="6" max="6"/>
    <col width="10" customWidth="1" min="7" max="7"/>
    <col width="18" customWidth="1" min="8" max="8"/>
    <col width="16" customWidth="1" min="9" max="9"/>
    <col width="34" customWidth="1" min="10" max="10"/>
    <col width="6" customWidth="1" min="11" max="11"/>
    <col width="22" customWidth="1" min="12" max="12"/>
    <col width="18" customWidth="1" min="13" max="13"/>
  </cols>
  <sheetData>
    <row r="1">
      <c r="A1" s="1" t="inlineStr">
        <is>
          <t>FIXED ADVANCES</t>
        </is>
      </c>
    </row>
    <row r="4">
      <c r="A4" s="2" t="inlineStr">
        <is>
          <t>ID</t>
        </is>
      </c>
      <c r="B4" s="2" t="inlineStr">
        <is>
          <t>Bank</t>
        </is>
      </c>
      <c r="C4" s="2" t="inlineStr">
        <is>
          <t>Linked
Credit Line</t>
        </is>
      </c>
      <c r="D4" s="2" t="inlineStr">
        <is>
          <t>Start Date</t>
        </is>
      </c>
      <c r="E4" s="2" t="inlineStr">
        <is>
          <t>End Date</t>
        </is>
      </c>
      <c r="F4" s="2" t="inlineStr">
        <is>
          <t>Continuation Date</t>
        </is>
      </c>
      <c r="G4" s="2" t="inlineStr">
        <is>
          <t>Currency</t>
        </is>
      </c>
      <c r="H4" s="2" t="inlineStr">
        <is>
          <t>Amount Original</t>
        </is>
      </c>
      <c r="I4" s="2" t="inlineStr">
        <is>
          <t>Interest Amount</t>
        </is>
      </c>
      <c r="J4" s="2" t="inlineStr">
        <is>
          <t>Description</t>
        </is>
      </c>
      <c r="K4" s="2" t="inlineStr">
        <is>
          <t>Days</t>
        </is>
      </c>
      <c r="L4" s="2" t="inlineStr">
        <is>
          <t>Interest Rate p.a. calc.</t>
        </is>
      </c>
      <c r="M4" s="2" t="inlineStr">
        <is>
          <t>Is Currently Active</t>
        </is>
      </c>
    </row>
    <row r="5">
      <c r="A5" s="3" t="inlineStr">
        <is>
          <t>FV0001</t>
        </is>
      </c>
      <c r="B5" s="3" t="inlineStr">
        <is>
          <t>Bank A</t>
        </is>
      </c>
      <c r="C5" s="3" t="inlineStr">
        <is>
          <t>CL001</t>
        </is>
      </c>
      <c r="D5" s="4" t="n">
        <v>45663</v>
      </c>
      <c r="E5" s="4" t="n">
        <v>45693</v>
      </c>
      <c r="F5" s="4" t="n">
        <v>45688</v>
      </c>
      <c r="G5" s="3" t="inlineStr">
        <is>
          <t>EUR</t>
        </is>
      </c>
      <c r="H5" s="5" t="n">
        <v>100000000</v>
      </c>
      <c r="I5" s="6" t="n">
        <v>202979.72</v>
      </c>
      <c r="J5" s="3" t="inlineStr">
        <is>
          <t>EUR 100m 06.01.2025 - 05.02.2025</t>
        </is>
      </c>
      <c r="K5" s="3">
        <f>E5-D5</f>
        <v/>
      </c>
      <c r="L5" s="7">
        <f>IF(K5&gt;0, I5/H5*360/K5, 0)</f>
        <v/>
      </c>
      <c r="M5" s="3">
        <f>AND(TODAY()&gt;=D5, TODAY()&lt;E5)</f>
        <v/>
      </c>
    </row>
    <row r="6">
      <c r="A6" s="3" t="inlineStr">
        <is>
          <t>FV0002</t>
        </is>
      </c>
      <c r="B6" s="3" t="inlineStr">
        <is>
          <t>Bank B</t>
        </is>
      </c>
      <c r="C6" s="3" t="inlineStr">
        <is>
          <t>CL002</t>
        </is>
      </c>
      <c r="D6" s="4" t="n">
        <v>45667</v>
      </c>
      <c r="E6" s="4" t="n">
        <v>45697</v>
      </c>
      <c r="F6" s="4" t="n">
        <v>45693</v>
      </c>
      <c r="G6" s="3" t="inlineStr">
        <is>
          <t>EUR</t>
        </is>
      </c>
      <c r="H6" s="5" t="n">
        <v>10000000</v>
      </c>
      <c r="I6" s="6" t="n">
        <v>21988.38</v>
      </c>
      <c r="J6" s="3" t="inlineStr">
        <is>
          <t>EUR 10m 10.01.2025 - 09.02.2025</t>
        </is>
      </c>
      <c r="K6" s="3">
        <f>E6-D6</f>
        <v/>
      </c>
      <c r="L6" s="7">
        <f>IF(K6&gt;0, I6/H6*360/K6, 0)</f>
        <v/>
      </c>
      <c r="M6" s="3">
        <f>AND(TODAY()&gt;=D6, TODAY()&lt;E6)</f>
        <v/>
      </c>
    </row>
    <row r="7">
      <c r="A7" s="3" t="inlineStr">
        <is>
          <t>FV0003</t>
        </is>
      </c>
      <c r="B7" s="3" t="inlineStr">
        <is>
          <t>Bank D</t>
        </is>
      </c>
      <c r="C7" s="3" t="inlineStr">
        <is>
          <t>CL004</t>
        </is>
      </c>
      <c r="D7" s="4" t="n">
        <v>45667</v>
      </c>
      <c r="E7" s="4" t="n">
        <v>45697</v>
      </c>
      <c r="F7" s="4" t="n">
        <v>45693</v>
      </c>
      <c r="G7" s="3" t="inlineStr">
        <is>
          <t>USD</t>
        </is>
      </c>
      <c r="H7" s="5" t="n">
        <v>100000000</v>
      </c>
      <c r="I7" s="6" t="n">
        <v>388470.66</v>
      </c>
      <c r="J7" s="3" t="inlineStr">
        <is>
          <t>USD 100m 10.01.2025 - 09.02.2025</t>
        </is>
      </c>
      <c r="K7" s="3">
        <f>E7-D7</f>
        <v/>
      </c>
      <c r="L7" s="7">
        <f>IF(K7&gt;0, I7/H7*360/K7, 0)</f>
        <v/>
      </c>
      <c r="M7" s="3">
        <f>AND(TODAY()&gt;=D7, TODAY()&lt;E7)</f>
        <v/>
      </c>
    </row>
    <row r="8">
      <c r="A8" s="3" t="inlineStr">
        <is>
          <t>FV0004</t>
        </is>
      </c>
      <c r="B8" s="3" t="inlineStr">
        <is>
          <t>Bank A</t>
        </is>
      </c>
      <c r="C8" s="3" t="inlineStr">
        <is>
          <t>CL001</t>
        </is>
      </c>
      <c r="D8" s="4" t="n">
        <v>45665</v>
      </c>
      <c r="E8" s="4" t="n">
        <v>45695</v>
      </c>
      <c r="F8" s="4" t="n">
        <v>45692</v>
      </c>
      <c r="G8" s="3" t="inlineStr">
        <is>
          <t>CHF</t>
        </is>
      </c>
      <c r="H8" s="5" t="n">
        <v>100000000</v>
      </c>
      <c r="I8" s="6" t="n">
        <v>132875.83</v>
      </c>
      <c r="J8" s="3" t="inlineStr">
        <is>
          <t>CHF 100m 08.01.2025 - 07.02.2025</t>
        </is>
      </c>
      <c r="K8" s="3">
        <f>E8-D8</f>
        <v/>
      </c>
      <c r="L8" s="7">
        <f>IF(K8&gt;0, I8/H8*360/K8, 0)</f>
        <v/>
      </c>
      <c r="M8" s="3">
        <f>AND(TODAY()&gt;=D8, TODAY()&lt;E8)</f>
        <v/>
      </c>
    </row>
    <row r="9">
      <c r="A9" s="3" t="inlineStr">
        <is>
          <t>FV0005</t>
        </is>
      </c>
      <c r="B9" s="3" t="inlineStr">
        <is>
          <t>Bank B</t>
        </is>
      </c>
      <c r="C9" s="3" t="inlineStr">
        <is>
          <t>CL002</t>
        </is>
      </c>
      <c r="D9" s="4" t="n">
        <v>45663</v>
      </c>
      <c r="E9" s="4" t="n">
        <v>45693</v>
      </c>
      <c r="F9" s="4" t="n">
        <v>45688</v>
      </c>
      <c r="G9" s="3" t="inlineStr">
        <is>
          <t>USD</t>
        </is>
      </c>
      <c r="H9" s="5" t="n">
        <v>10000000</v>
      </c>
      <c r="I9" s="6" t="n">
        <v>39949.21</v>
      </c>
      <c r="J9" s="3" t="inlineStr">
        <is>
          <t>USD 10m 06.01.2025 - 05.02.2025</t>
        </is>
      </c>
      <c r="K9" s="3">
        <f>E9-D9</f>
        <v/>
      </c>
      <c r="L9" s="7">
        <f>IF(K9&gt;0, I9/H9*360/K9, 0)</f>
        <v/>
      </c>
      <c r="M9" s="3">
        <f>AND(TODAY()&gt;=D9, TODAY()&lt;E9)</f>
        <v/>
      </c>
    </row>
    <row r="10">
      <c r="A10" s="3" t="inlineStr">
        <is>
          <t>FV0006</t>
        </is>
      </c>
      <c r="B10" s="3" t="inlineStr">
        <is>
          <t>Bank C</t>
        </is>
      </c>
      <c r="C10" s="3" t="inlineStr">
        <is>
          <t>CL003</t>
        </is>
      </c>
      <c r="D10" s="4" t="n">
        <v>45663</v>
      </c>
      <c r="E10" s="4" t="n">
        <v>45693</v>
      </c>
      <c r="F10" s="4" t="n">
        <v>45688</v>
      </c>
      <c r="G10" s="3" t="inlineStr">
        <is>
          <t>EUR</t>
        </is>
      </c>
      <c r="H10" s="5" t="n">
        <v>50000000</v>
      </c>
      <c r="I10" s="6" t="n">
        <v>136486.59</v>
      </c>
      <c r="J10" s="3" t="inlineStr">
        <is>
          <t>EUR 50m 06.01.2025 - 05.02.2025</t>
        </is>
      </c>
      <c r="K10" s="3">
        <f>E10-D10</f>
        <v/>
      </c>
      <c r="L10" s="7">
        <f>IF(K10&gt;0, I10/H10*360/K10, 0)</f>
        <v/>
      </c>
      <c r="M10" s="3">
        <f>AND(TODAY()&gt;=D10, TODAY()&lt;E10)</f>
        <v/>
      </c>
    </row>
    <row r="11">
      <c r="A11" s="3" t="inlineStr">
        <is>
          <t>FV0007</t>
        </is>
      </c>
      <c r="B11" s="3" t="inlineStr">
        <is>
          <t>Bank A</t>
        </is>
      </c>
      <c r="C11" s="3" t="inlineStr">
        <is>
          <t>CL001</t>
        </is>
      </c>
      <c r="D11" s="4" t="n">
        <v>45667</v>
      </c>
      <c r="E11" s="4" t="n">
        <v>45697</v>
      </c>
      <c r="F11" s="4" t="n">
        <v>45693</v>
      </c>
      <c r="G11" s="3" t="inlineStr">
        <is>
          <t>GBP</t>
        </is>
      </c>
      <c r="H11" s="5" t="n">
        <v>10000000</v>
      </c>
      <c r="I11" s="6" t="n">
        <v>35087.08</v>
      </c>
      <c r="J11" s="3" t="inlineStr">
        <is>
          <t>GBP 10m 10.01.2025 - 09.02.2025</t>
        </is>
      </c>
      <c r="K11" s="3">
        <f>E11-D11</f>
        <v/>
      </c>
      <c r="L11" s="7">
        <f>IF(K11&gt;0, I11/H11*360/K11, 0)</f>
        <v/>
      </c>
      <c r="M11" s="3">
        <f>AND(TODAY()&gt;=D11, TODAY()&lt;E11)</f>
        <v/>
      </c>
    </row>
    <row r="12">
      <c r="A12" s="3" t="inlineStr">
        <is>
          <t>FV0008</t>
        </is>
      </c>
      <c r="B12" s="3" t="inlineStr">
        <is>
          <t>Bank C</t>
        </is>
      </c>
      <c r="C12" s="3" t="inlineStr">
        <is>
          <t>CL003</t>
        </is>
      </c>
      <c r="D12" s="4" t="n">
        <v>45663</v>
      </c>
      <c r="E12" s="4" t="n">
        <v>45693</v>
      </c>
      <c r="F12" s="4" t="n">
        <v>45688</v>
      </c>
      <c r="G12" s="3" t="inlineStr">
        <is>
          <t>USD</t>
        </is>
      </c>
      <c r="H12" s="5" t="n">
        <v>20000000</v>
      </c>
      <c r="I12" s="6" t="n">
        <v>72659.53</v>
      </c>
      <c r="J12" s="3" t="inlineStr">
        <is>
          <t>USD 20m 06.01.2025 - 05.02.2025</t>
        </is>
      </c>
      <c r="K12" s="3">
        <f>E12-D12</f>
        <v/>
      </c>
      <c r="L12" s="7">
        <f>IF(K12&gt;0, I12/H12*360/K12, 0)</f>
        <v/>
      </c>
      <c r="M12" s="3">
        <f>AND(TODAY()&gt;=D12, TODAY()&lt;E12)</f>
        <v/>
      </c>
    </row>
    <row r="13">
      <c r="A13" s="3" t="inlineStr">
        <is>
          <t>FV0009</t>
        </is>
      </c>
      <c r="B13" s="3" t="inlineStr">
        <is>
          <t>Bank B</t>
        </is>
      </c>
      <c r="C13" s="3" t="inlineStr">
        <is>
          <t>CL002</t>
        </is>
      </c>
      <c r="D13" s="4" t="n">
        <v>45664</v>
      </c>
      <c r="E13" s="4" t="n">
        <v>45694</v>
      </c>
      <c r="F13" s="4" t="n">
        <v>45691</v>
      </c>
      <c r="G13" s="3" t="inlineStr">
        <is>
          <t>USD</t>
        </is>
      </c>
      <c r="H13" s="5" t="n">
        <v>10000000</v>
      </c>
      <c r="I13" s="6" t="n">
        <v>45220.24</v>
      </c>
      <c r="J13" s="3" t="inlineStr">
        <is>
          <t>USD 10m 07.01.2025 - 06.02.2025</t>
        </is>
      </c>
      <c r="K13" s="3">
        <f>E13-D13</f>
        <v/>
      </c>
      <c r="L13" s="7">
        <f>IF(K13&gt;0, I13/H13*360/K13, 0)</f>
        <v/>
      </c>
      <c r="M13" s="3">
        <f>AND(TODAY()&gt;=D13, TODAY()&lt;E13)</f>
        <v/>
      </c>
    </row>
    <row r="14">
      <c r="A14" s="3" t="inlineStr">
        <is>
          <t>FV0010</t>
        </is>
      </c>
      <c r="B14" s="3" t="inlineStr">
        <is>
          <t>Bank D</t>
        </is>
      </c>
      <c r="C14" s="3" t="inlineStr">
        <is>
          <t>CL004</t>
        </is>
      </c>
      <c r="D14" s="4" t="n">
        <v>45665</v>
      </c>
      <c r="E14" s="4" t="n">
        <v>45695</v>
      </c>
      <c r="F14" s="4" t="n">
        <v>45692</v>
      </c>
      <c r="G14" s="3" t="inlineStr">
        <is>
          <t>EUR</t>
        </is>
      </c>
      <c r="H14" s="5" t="n">
        <v>100000000</v>
      </c>
      <c r="I14" s="6" t="n">
        <v>216265.41</v>
      </c>
      <c r="J14" s="3" t="inlineStr">
        <is>
          <t>EUR 100m 08.01.2025 - 07.02.2025</t>
        </is>
      </c>
      <c r="K14" s="3">
        <f>E14-D14</f>
        <v/>
      </c>
      <c r="L14" s="7">
        <f>IF(K14&gt;0, I14/H14*360/K14, 0)</f>
        <v/>
      </c>
      <c r="M14" s="3">
        <f>AND(TODAY()&gt;=D14, TODAY()&lt;E14)</f>
        <v/>
      </c>
    </row>
    <row r="15">
      <c r="A15" s="3" t="inlineStr">
        <is>
          <t>FV0011</t>
        </is>
      </c>
      <c r="B15" s="3" t="inlineStr">
        <is>
          <t>Bank C</t>
        </is>
      </c>
      <c r="C15" s="3" t="inlineStr">
        <is>
          <t>CL003</t>
        </is>
      </c>
      <c r="D15" s="4" t="n">
        <v>45663</v>
      </c>
      <c r="E15" s="4" t="n">
        <v>45693</v>
      </c>
      <c r="F15" s="4" t="n">
        <v>45688</v>
      </c>
      <c r="G15" s="3" t="inlineStr">
        <is>
          <t>GBP</t>
        </is>
      </c>
      <c r="H15" s="5" t="n">
        <v>50000000</v>
      </c>
      <c r="I15" s="6" t="n">
        <v>193865.98</v>
      </c>
      <c r="J15" s="3" t="inlineStr">
        <is>
          <t>GBP 50m 06.01.2025 - 05.02.2025</t>
        </is>
      </c>
      <c r="K15" s="3">
        <f>E15-D15</f>
        <v/>
      </c>
      <c r="L15" s="7">
        <f>IF(K15&gt;0, I15/H15*360/K15, 0)</f>
        <v/>
      </c>
      <c r="M15" s="3">
        <f>AND(TODAY()&gt;=D15, TODAY()&lt;E15)</f>
        <v/>
      </c>
    </row>
    <row r="16">
      <c r="A16" s="3" t="inlineStr">
        <is>
          <t>FV0012</t>
        </is>
      </c>
      <c r="B16" s="3" t="inlineStr">
        <is>
          <t>Bank B</t>
        </is>
      </c>
      <c r="C16" s="3" t="inlineStr">
        <is>
          <t>CL002</t>
        </is>
      </c>
      <c r="D16" s="4" t="n">
        <v>45664</v>
      </c>
      <c r="E16" s="4" t="n">
        <v>45694</v>
      </c>
      <c r="F16" s="4" t="n">
        <v>45691</v>
      </c>
      <c r="G16" s="3" t="inlineStr">
        <is>
          <t>GBP</t>
        </is>
      </c>
      <c r="H16" s="5" t="n">
        <v>20000000</v>
      </c>
      <c r="I16" s="6" t="n">
        <v>74119.39999999999</v>
      </c>
      <c r="J16" s="3" t="inlineStr">
        <is>
          <t>GBP 20m 07.01.2025 - 06.02.2025</t>
        </is>
      </c>
      <c r="K16" s="3">
        <f>E16-D16</f>
        <v/>
      </c>
      <c r="L16" s="7">
        <f>IF(K16&gt;0, I16/H16*360/K16, 0)</f>
        <v/>
      </c>
      <c r="M16" s="3">
        <f>AND(TODAY()&gt;=D16, TODAY()&lt;E16)</f>
        <v/>
      </c>
    </row>
    <row r="17">
      <c r="A17" s="3" t="inlineStr">
        <is>
          <t>FV0013</t>
        </is>
      </c>
      <c r="B17" s="3" t="inlineStr">
        <is>
          <t>Bank C</t>
        </is>
      </c>
      <c r="C17" s="3" t="inlineStr">
        <is>
          <t>CL003</t>
        </is>
      </c>
      <c r="D17" s="4" t="n">
        <v>45665</v>
      </c>
      <c r="E17" s="4" t="n">
        <v>45695</v>
      </c>
      <c r="F17" s="4" t="n">
        <v>45692</v>
      </c>
      <c r="G17" s="3" t="inlineStr">
        <is>
          <t>USD</t>
        </is>
      </c>
      <c r="H17" s="5" t="n">
        <v>20000000</v>
      </c>
      <c r="I17" s="6" t="n">
        <v>89928.46000000001</v>
      </c>
      <c r="J17" s="3" t="inlineStr">
        <is>
          <t>USD 20m 08.01.2025 - 07.02.2025</t>
        </is>
      </c>
      <c r="K17" s="3">
        <f>E17-D17</f>
        <v/>
      </c>
      <c r="L17" s="7">
        <f>IF(K17&gt;0, I17/H17*360/K17, 0)</f>
        <v/>
      </c>
      <c r="M17" s="3">
        <f>AND(TODAY()&gt;=D17, TODAY()&lt;E17)</f>
        <v/>
      </c>
    </row>
    <row r="18">
      <c r="A18" s="3" t="inlineStr">
        <is>
          <t>FV0014</t>
        </is>
      </c>
      <c r="B18" s="3" t="inlineStr">
        <is>
          <t>Bank A</t>
        </is>
      </c>
      <c r="C18" s="3" t="inlineStr">
        <is>
          <t>CL001</t>
        </is>
      </c>
      <c r="D18" s="4" t="n">
        <v>45665</v>
      </c>
      <c r="E18" s="4" t="n">
        <v>45695</v>
      </c>
      <c r="F18" s="4" t="n">
        <v>45692</v>
      </c>
      <c r="G18" s="3" t="inlineStr">
        <is>
          <t>CHF</t>
        </is>
      </c>
      <c r="H18" s="5" t="n">
        <v>10000000</v>
      </c>
      <c r="I18" s="6" t="n">
        <v>14006.79</v>
      </c>
      <c r="J18" s="3" t="inlineStr">
        <is>
          <t>CHF 10m 08.01.2025 - 07.02.2025</t>
        </is>
      </c>
      <c r="K18" s="3">
        <f>E18-D18</f>
        <v/>
      </c>
      <c r="L18" s="7">
        <f>IF(K18&gt;0, I18/H18*360/K18, 0)</f>
        <v/>
      </c>
      <c r="M18" s="3">
        <f>AND(TODAY()&gt;=D18, TODAY()&lt;E18)</f>
        <v/>
      </c>
    </row>
    <row r="19">
      <c r="A19" s="3" t="inlineStr">
        <is>
          <t>FV0015</t>
        </is>
      </c>
      <c r="B19" s="3" t="inlineStr">
        <is>
          <t>Bank A</t>
        </is>
      </c>
      <c r="C19" s="3" t="inlineStr">
        <is>
          <t>CL001</t>
        </is>
      </c>
      <c r="D19" s="4" t="n">
        <v>45664</v>
      </c>
      <c r="E19" s="4" t="n">
        <v>45694</v>
      </c>
      <c r="F19" s="4" t="n">
        <v>45691</v>
      </c>
      <c r="G19" s="3" t="inlineStr">
        <is>
          <t>CHF</t>
        </is>
      </c>
      <c r="H19" s="5" t="n">
        <v>50000000</v>
      </c>
      <c r="I19" s="6" t="n">
        <v>77450.28999999999</v>
      </c>
      <c r="J19" s="3" t="inlineStr">
        <is>
          <t>CHF 50m 07.01.2025 - 06.02.2025</t>
        </is>
      </c>
      <c r="K19" s="3">
        <f>E19-D19</f>
        <v/>
      </c>
      <c r="L19" s="7">
        <f>IF(K19&gt;0, I19/H19*360/K19, 0)</f>
        <v/>
      </c>
      <c r="M19" s="3">
        <f>AND(TODAY()&gt;=D19, TODAY()&lt;E19)</f>
        <v/>
      </c>
    </row>
    <row r="20">
      <c r="A20" s="3" t="inlineStr">
        <is>
          <t>FV0016</t>
        </is>
      </c>
      <c r="B20" s="3" t="inlineStr">
        <is>
          <t>Bank D</t>
        </is>
      </c>
      <c r="C20" s="3" t="inlineStr">
        <is>
          <t>CL004</t>
        </is>
      </c>
      <c r="D20" s="4" t="n">
        <v>45664</v>
      </c>
      <c r="E20" s="4" t="n">
        <v>45694</v>
      </c>
      <c r="F20" s="4" t="n">
        <v>45691</v>
      </c>
      <c r="G20" s="3" t="inlineStr">
        <is>
          <t>GBP</t>
        </is>
      </c>
      <c r="H20" s="5" t="n">
        <v>100000000</v>
      </c>
      <c r="I20" s="6" t="n">
        <v>347569.35</v>
      </c>
      <c r="J20" s="3" t="inlineStr">
        <is>
          <t>GBP 100m 07.01.2025 - 06.02.2025</t>
        </is>
      </c>
      <c r="K20" s="3">
        <f>E20-D20</f>
        <v/>
      </c>
      <c r="L20" s="7">
        <f>IF(K20&gt;0, I20/H20*360/K20, 0)</f>
        <v/>
      </c>
      <c r="M20" s="3">
        <f>AND(TODAY()&gt;=D20, TODAY()&lt;E20)</f>
        <v/>
      </c>
    </row>
    <row r="21">
      <c r="A21" s="3" t="inlineStr">
        <is>
          <t>FV0017</t>
        </is>
      </c>
      <c r="B21" s="3" t="inlineStr">
        <is>
          <t>Bank C</t>
        </is>
      </c>
      <c r="C21" s="3" t="inlineStr">
        <is>
          <t>CL003</t>
        </is>
      </c>
      <c r="D21" s="4" t="n">
        <v>45697</v>
      </c>
      <c r="E21" s="4" t="n">
        <v>45727</v>
      </c>
      <c r="F21" s="4" t="n">
        <v>45722</v>
      </c>
      <c r="G21" s="3" t="inlineStr">
        <is>
          <t>USD</t>
        </is>
      </c>
      <c r="H21" s="5" t="n">
        <v>100000000</v>
      </c>
      <c r="I21" s="6" t="n">
        <v>401601.72</v>
      </c>
      <c r="J21" s="3" t="inlineStr">
        <is>
          <t>USD 100m 09.02.2025 - 11.03.2025</t>
        </is>
      </c>
      <c r="K21" s="3">
        <f>E21-D21</f>
        <v/>
      </c>
      <c r="L21" s="7">
        <f>IF(K21&gt;0, I21/H21*360/K21, 0)</f>
        <v/>
      </c>
      <c r="M21" s="3">
        <f>AND(TODAY()&gt;=D21, TODAY()&lt;E21)</f>
        <v/>
      </c>
    </row>
    <row r="22">
      <c r="A22" s="3" t="inlineStr">
        <is>
          <t>FV0018</t>
        </is>
      </c>
      <c r="B22" s="3" t="inlineStr">
        <is>
          <t>Bank B</t>
        </is>
      </c>
      <c r="C22" s="3" t="inlineStr">
        <is>
          <t>CL002</t>
        </is>
      </c>
      <c r="D22" s="4" t="n">
        <v>45693</v>
      </c>
      <c r="E22" s="4" t="n">
        <v>45723</v>
      </c>
      <c r="F22" s="4" t="n">
        <v>45720</v>
      </c>
      <c r="G22" s="3" t="inlineStr">
        <is>
          <t>EUR</t>
        </is>
      </c>
      <c r="H22" s="5" t="n">
        <v>100000000</v>
      </c>
      <c r="I22" s="6" t="n">
        <v>275578.22</v>
      </c>
      <c r="J22" s="3" t="inlineStr">
        <is>
          <t>EUR 100m 05.02.2025 - 07.03.2025</t>
        </is>
      </c>
      <c r="K22" s="3">
        <f>E22-D22</f>
        <v/>
      </c>
      <c r="L22" s="7">
        <f>IF(K22&gt;0, I22/H22*360/K22, 0)</f>
        <v/>
      </c>
      <c r="M22" s="3">
        <f>AND(TODAY()&gt;=D22, TODAY()&lt;E22)</f>
        <v/>
      </c>
    </row>
    <row r="23">
      <c r="A23" s="3" t="inlineStr">
        <is>
          <t>FV0019</t>
        </is>
      </c>
      <c r="B23" s="3" t="inlineStr">
        <is>
          <t>Bank A</t>
        </is>
      </c>
      <c r="C23" s="3" t="inlineStr">
        <is>
          <t>CL001</t>
        </is>
      </c>
      <c r="D23" s="4" t="n">
        <v>45696</v>
      </c>
      <c r="E23" s="4" t="n">
        <v>45726</v>
      </c>
      <c r="F23" s="4" t="n">
        <v>45721</v>
      </c>
      <c r="G23" s="3" t="inlineStr">
        <is>
          <t>CHF</t>
        </is>
      </c>
      <c r="H23" s="5" t="n">
        <v>20000000</v>
      </c>
      <c r="I23" s="6" t="n">
        <v>30291.44</v>
      </c>
      <c r="J23" s="3" t="inlineStr">
        <is>
          <t>CHF 20m 08.02.2025 - 10.03.2025</t>
        </is>
      </c>
      <c r="K23" s="3">
        <f>E23-D23</f>
        <v/>
      </c>
      <c r="L23" s="7">
        <f>IF(K23&gt;0, I23/H23*360/K23, 0)</f>
        <v/>
      </c>
      <c r="M23" s="3">
        <f>AND(TODAY()&gt;=D23, TODAY()&lt;E23)</f>
        <v/>
      </c>
    </row>
    <row r="24">
      <c r="A24" s="3" t="inlineStr">
        <is>
          <t>FV0020</t>
        </is>
      </c>
      <c r="B24" s="3" t="inlineStr">
        <is>
          <t>Bank D</t>
        </is>
      </c>
      <c r="C24" s="3" t="inlineStr">
        <is>
          <t>CL004</t>
        </is>
      </c>
      <c r="D24" s="4" t="n">
        <v>45697</v>
      </c>
      <c r="E24" s="4" t="n">
        <v>45727</v>
      </c>
      <c r="F24" s="4" t="n">
        <v>45722</v>
      </c>
      <c r="G24" s="3" t="inlineStr">
        <is>
          <t>EUR</t>
        </is>
      </c>
      <c r="H24" s="5" t="n">
        <v>100000000</v>
      </c>
      <c r="I24" s="6" t="n">
        <v>225141.41</v>
      </c>
      <c r="J24" s="3" t="inlineStr">
        <is>
          <t>EUR 100m 09.02.2025 - 11.03.2025</t>
        </is>
      </c>
      <c r="K24" s="3">
        <f>E24-D24</f>
        <v/>
      </c>
      <c r="L24" s="7">
        <f>IF(K24&gt;0, I24/H24*360/K24, 0)</f>
        <v/>
      </c>
      <c r="M24" s="3">
        <f>AND(TODAY()&gt;=D24, TODAY()&lt;E24)</f>
        <v/>
      </c>
    </row>
    <row r="25">
      <c r="A25" s="3" t="inlineStr">
        <is>
          <t>FV0021</t>
        </is>
      </c>
      <c r="B25" s="3" t="inlineStr">
        <is>
          <t>Bank A</t>
        </is>
      </c>
      <c r="C25" s="3" t="inlineStr">
        <is>
          <t>CL001</t>
        </is>
      </c>
      <c r="D25" s="4" t="n">
        <v>45697</v>
      </c>
      <c r="E25" s="4" t="n">
        <v>45727</v>
      </c>
      <c r="F25" s="4" t="n">
        <v>45722</v>
      </c>
      <c r="G25" s="3" t="inlineStr">
        <is>
          <t>EUR</t>
        </is>
      </c>
      <c r="H25" s="5" t="n">
        <v>10000000</v>
      </c>
      <c r="I25" s="6" t="n">
        <v>27508.78</v>
      </c>
      <c r="J25" s="3" t="inlineStr">
        <is>
          <t>EUR 10m 09.02.2025 - 11.03.2025</t>
        </is>
      </c>
      <c r="K25" s="3">
        <f>E25-D25</f>
        <v/>
      </c>
      <c r="L25" s="7">
        <f>IF(K25&gt;0, I25/H25*360/K25, 0)</f>
        <v/>
      </c>
      <c r="M25" s="3">
        <f>AND(TODAY()&gt;=D25, TODAY()&lt;E25)</f>
        <v/>
      </c>
    </row>
    <row r="26">
      <c r="A26" s="3" t="inlineStr">
        <is>
          <t>FV0022</t>
        </is>
      </c>
      <c r="B26" s="3" t="inlineStr">
        <is>
          <t>Bank C</t>
        </is>
      </c>
      <c r="C26" s="3" t="inlineStr">
        <is>
          <t>CL003</t>
        </is>
      </c>
      <c r="D26" s="4" t="n">
        <v>45696</v>
      </c>
      <c r="E26" s="4" t="n">
        <v>45726</v>
      </c>
      <c r="F26" s="4" t="n">
        <v>45721</v>
      </c>
      <c r="G26" s="3" t="inlineStr">
        <is>
          <t>GBP</t>
        </is>
      </c>
      <c r="H26" s="5" t="n">
        <v>50000000</v>
      </c>
      <c r="I26" s="6" t="n">
        <v>167559.2</v>
      </c>
      <c r="J26" s="3" t="inlineStr">
        <is>
          <t>GBP 50m 08.02.2025 - 10.03.2025</t>
        </is>
      </c>
      <c r="K26" s="3">
        <f>E26-D26</f>
        <v/>
      </c>
      <c r="L26" s="7">
        <f>IF(K26&gt;0, I26/H26*360/K26, 0)</f>
        <v/>
      </c>
      <c r="M26" s="3">
        <f>AND(TODAY()&gt;=D26, TODAY()&lt;E26)</f>
        <v/>
      </c>
    </row>
    <row r="27">
      <c r="A27" s="3" t="inlineStr">
        <is>
          <t>FV0023</t>
        </is>
      </c>
      <c r="B27" s="3" t="inlineStr">
        <is>
          <t>Bank A</t>
        </is>
      </c>
      <c r="C27" s="3" t="inlineStr">
        <is>
          <t>CL001</t>
        </is>
      </c>
      <c r="D27" s="4" t="n">
        <v>45697</v>
      </c>
      <c r="E27" s="4" t="n">
        <v>45727</v>
      </c>
      <c r="F27" s="4" t="n">
        <v>45722</v>
      </c>
      <c r="G27" s="3" t="inlineStr">
        <is>
          <t>EUR</t>
        </is>
      </c>
      <c r="H27" s="5" t="n">
        <v>50000000</v>
      </c>
      <c r="I27" s="6" t="n">
        <v>138098.11</v>
      </c>
      <c r="J27" s="3" t="inlineStr">
        <is>
          <t>EUR 50m 09.02.2025 - 11.03.2025</t>
        </is>
      </c>
      <c r="K27" s="3">
        <f>E27-D27</f>
        <v/>
      </c>
      <c r="L27" s="7">
        <f>IF(K27&gt;0, I27/H27*360/K27, 0)</f>
        <v/>
      </c>
      <c r="M27" s="3">
        <f>AND(TODAY()&gt;=D27, TODAY()&lt;E27)</f>
        <v/>
      </c>
    </row>
    <row r="28">
      <c r="A28" s="3" t="inlineStr">
        <is>
          <t>FV0024</t>
        </is>
      </c>
      <c r="B28" s="3" t="inlineStr">
        <is>
          <t>Bank A</t>
        </is>
      </c>
      <c r="C28" s="3" t="inlineStr">
        <is>
          <t>CL001</t>
        </is>
      </c>
      <c r="D28" s="4" t="n">
        <v>45697</v>
      </c>
      <c r="E28" s="4" t="n">
        <v>45727</v>
      </c>
      <c r="F28" s="4" t="n">
        <v>45722</v>
      </c>
      <c r="G28" s="3" t="inlineStr">
        <is>
          <t>EUR</t>
        </is>
      </c>
      <c r="H28" s="5" t="n">
        <v>50000000</v>
      </c>
      <c r="I28" s="6" t="n">
        <v>130448.51</v>
      </c>
      <c r="J28" s="3" t="inlineStr">
        <is>
          <t>EUR 50m 09.02.2025 - 11.03.2025</t>
        </is>
      </c>
      <c r="K28" s="3">
        <f>E28-D28</f>
        <v/>
      </c>
      <c r="L28" s="7">
        <f>IF(K28&gt;0, I28/H28*360/K28, 0)</f>
        <v/>
      </c>
      <c r="M28" s="3">
        <f>AND(TODAY()&gt;=D28, TODAY()&lt;E28)</f>
        <v/>
      </c>
    </row>
    <row r="29">
      <c r="A29" s="3" t="inlineStr">
        <is>
          <t>FV0025</t>
        </is>
      </c>
      <c r="B29" s="3" t="inlineStr">
        <is>
          <t>Bank B</t>
        </is>
      </c>
      <c r="C29" s="3" t="inlineStr">
        <is>
          <t>CL002</t>
        </is>
      </c>
      <c r="D29" s="4" t="n">
        <v>45697</v>
      </c>
      <c r="E29" s="4" t="n">
        <v>45727</v>
      </c>
      <c r="F29" s="4" t="n">
        <v>45722</v>
      </c>
      <c r="G29" s="3" t="inlineStr">
        <is>
          <t>USD</t>
        </is>
      </c>
      <c r="H29" s="5" t="n">
        <v>20000000</v>
      </c>
      <c r="I29" s="6" t="n">
        <v>92325.83</v>
      </c>
      <c r="J29" s="3" t="inlineStr">
        <is>
          <t>USD 20m 09.02.2025 - 11.03.2025</t>
        </is>
      </c>
      <c r="K29" s="3">
        <f>E29-D29</f>
        <v/>
      </c>
      <c r="L29" s="7">
        <f>IF(K29&gt;0, I29/H29*360/K29, 0)</f>
        <v/>
      </c>
      <c r="M29" s="3">
        <f>AND(TODAY()&gt;=D29, TODAY()&lt;E29)</f>
        <v/>
      </c>
    </row>
    <row r="30">
      <c r="A30" s="3" t="inlineStr">
        <is>
          <t>FV0026</t>
        </is>
      </c>
      <c r="B30" s="3" t="inlineStr">
        <is>
          <t>Bank A</t>
        </is>
      </c>
      <c r="C30" s="3" t="inlineStr">
        <is>
          <t>CL001</t>
        </is>
      </c>
      <c r="D30" s="4" t="n">
        <v>45696</v>
      </c>
      <c r="E30" s="4" t="n">
        <v>45726</v>
      </c>
      <c r="F30" s="4" t="n">
        <v>45721</v>
      </c>
      <c r="G30" s="3" t="inlineStr">
        <is>
          <t>EUR</t>
        </is>
      </c>
      <c r="H30" s="5" t="n">
        <v>50000000</v>
      </c>
      <c r="I30" s="6" t="n">
        <v>100973.84</v>
      </c>
      <c r="J30" s="3" t="inlineStr">
        <is>
          <t>EUR 50m 08.02.2025 - 10.03.2025</t>
        </is>
      </c>
      <c r="K30" s="3">
        <f>E30-D30</f>
        <v/>
      </c>
      <c r="L30" s="7">
        <f>IF(K30&gt;0, I30/H30*360/K30, 0)</f>
        <v/>
      </c>
      <c r="M30" s="3">
        <f>AND(TODAY()&gt;=D30, TODAY()&lt;E30)</f>
        <v/>
      </c>
    </row>
    <row r="31">
      <c r="A31" s="3" t="inlineStr">
        <is>
          <t>FV0027</t>
        </is>
      </c>
      <c r="B31" s="3" t="inlineStr">
        <is>
          <t>Bank C</t>
        </is>
      </c>
      <c r="C31" s="3" t="inlineStr">
        <is>
          <t>CL003</t>
        </is>
      </c>
      <c r="D31" s="4" t="n">
        <v>45693</v>
      </c>
      <c r="E31" s="4" t="n">
        <v>45723</v>
      </c>
      <c r="F31" s="4" t="n">
        <v>45720</v>
      </c>
      <c r="G31" s="3" t="inlineStr">
        <is>
          <t>EUR</t>
        </is>
      </c>
      <c r="H31" s="5" t="n">
        <v>20000000</v>
      </c>
      <c r="I31" s="6" t="n">
        <v>44817.43</v>
      </c>
      <c r="J31" s="3" t="inlineStr">
        <is>
          <t>EUR 20m 05.02.2025 - 07.03.2025</t>
        </is>
      </c>
      <c r="K31" s="3">
        <f>E31-D31</f>
        <v/>
      </c>
      <c r="L31" s="7">
        <f>IF(K31&gt;0, I31/H31*360/K31, 0)</f>
        <v/>
      </c>
      <c r="M31" s="3">
        <f>AND(TODAY()&gt;=D31, TODAY()&lt;E31)</f>
        <v/>
      </c>
    </row>
    <row r="32">
      <c r="A32" s="3" t="inlineStr">
        <is>
          <t>FV0028</t>
        </is>
      </c>
      <c r="B32" s="3" t="inlineStr">
        <is>
          <t>Bank A</t>
        </is>
      </c>
      <c r="C32" s="3" t="inlineStr">
        <is>
          <t>CL001</t>
        </is>
      </c>
      <c r="D32" s="4" t="n">
        <v>45693</v>
      </c>
      <c r="E32" s="4" t="n">
        <v>45723</v>
      </c>
      <c r="F32" s="4" t="n">
        <v>45720</v>
      </c>
      <c r="G32" s="3" t="inlineStr">
        <is>
          <t>CHF</t>
        </is>
      </c>
      <c r="H32" s="5" t="n">
        <v>100000000</v>
      </c>
      <c r="I32" s="6" t="n">
        <v>173715.76</v>
      </c>
      <c r="J32" s="3" t="inlineStr">
        <is>
          <t>CHF 100m 05.02.2025 - 07.03.2025</t>
        </is>
      </c>
      <c r="K32" s="3">
        <f>E32-D32</f>
        <v/>
      </c>
      <c r="L32" s="7">
        <f>IF(K32&gt;0, I32/H32*360/K32, 0)</f>
        <v/>
      </c>
      <c r="M32" s="3">
        <f>AND(TODAY()&gt;=D32, TODAY()&lt;E32)</f>
        <v/>
      </c>
    </row>
    <row r="33">
      <c r="A33" s="3" t="inlineStr">
        <is>
          <t>FV0029</t>
        </is>
      </c>
      <c r="B33" s="3" t="inlineStr">
        <is>
          <t>Bank B</t>
        </is>
      </c>
      <c r="C33" s="3" t="inlineStr">
        <is>
          <t>CL002</t>
        </is>
      </c>
      <c r="D33" s="4" t="n">
        <v>45697</v>
      </c>
      <c r="E33" s="4" t="n">
        <v>45727</v>
      </c>
      <c r="F33" s="4" t="n">
        <v>45722</v>
      </c>
      <c r="G33" s="3" t="inlineStr">
        <is>
          <t>EUR</t>
        </is>
      </c>
      <c r="H33" s="5" t="n">
        <v>100000000</v>
      </c>
      <c r="I33" s="6" t="n">
        <v>216512.7</v>
      </c>
      <c r="J33" s="3" t="inlineStr">
        <is>
          <t>EUR 100m 09.02.2025 - 11.03.2025</t>
        </is>
      </c>
      <c r="K33" s="3">
        <f>E33-D33</f>
        <v/>
      </c>
      <c r="L33" s="7">
        <f>IF(K33&gt;0, I33/H33*360/K33, 0)</f>
        <v/>
      </c>
      <c r="M33" s="3">
        <f>AND(TODAY()&gt;=D33, TODAY()&lt;E33)</f>
        <v/>
      </c>
    </row>
    <row r="34">
      <c r="A34" s="3" t="inlineStr">
        <is>
          <t>FV0030</t>
        </is>
      </c>
      <c r="B34" s="3" t="inlineStr">
        <is>
          <t>Bank D</t>
        </is>
      </c>
      <c r="C34" s="3" t="inlineStr">
        <is>
          <t>CL004</t>
        </is>
      </c>
      <c r="D34" s="4" t="n">
        <v>45725</v>
      </c>
      <c r="E34" s="4" t="n">
        <v>45755</v>
      </c>
      <c r="F34" s="4" t="n">
        <v>45750</v>
      </c>
      <c r="G34" s="3" t="inlineStr">
        <is>
          <t>USD</t>
        </is>
      </c>
      <c r="H34" s="5" t="n">
        <v>20000000</v>
      </c>
      <c r="I34" s="6" t="n">
        <v>80311.5</v>
      </c>
      <c r="J34" s="3" t="inlineStr">
        <is>
          <t>USD 20m 09.03.2025 - 08.04.2025</t>
        </is>
      </c>
      <c r="K34" s="3">
        <f>E34-D34</f>
        <v/>
      </c>
      <c r="L34" s="7">
        <f>IF(K34&gt;0, I34/H34*360/K34, 0)</f>
        <v/>
      </c>
      <c r="M34" s="3">
        <f>AND(TODAY()&gt;=D34, TODAY()&lt;E34)</f>
        <v/>
      </c>
    </row>
    <row r="35">
      <c r="A35" s="3" t="inlineStr">
        <is>
          <t>FV0031</t>
        </is>
      </c>
      <c r="B35" s="3" t="inlineStr">
        <is>
          <t>Bank C</t>
        </is>
      </c>
      <c r="C35" s="3" t="inlineStr">
        <is>
          <t>CL003</t>
        </is>
      </c>
      <c r="D35" s="4" t="n">
        <v>45723</v>
      </c>
      <c r="E35" s="4" t="n">
        <v>45753</v>
      </c>
      <c r="F35" s="4" t="n">
        <v>45749</v>
      </c>
      <c r="G35" s="3" t="inlineStr">
        <is>
          <t>EUR</t>
        </is>
      </c>
      <c r="H35" s="5" t="n">
        <v>100000000</v>
      </c>
      <c r="I35" s="6" t="n">
        <v>224790.56</v>
      </c>
      <c r="J35" s="3" t="inlineStr">
        <is>
          <t>EUR 100m 07.03.2025 - 06.04.2025</t>
        </is>
      </c>
      <c r="K35" s="3">
        <f>E35-D35</f>
        <v/>
      </c>
      <c r="L35" s="7">
        <f>IF(K35&gt;0, I35/H35*360/K35, 0)</f>
        <v/>
      </c>
      <c r="M35" s="3">
        <f>AND(TODAY()&gt;=D35, TODAY()&lt;E35)</f>
        <v/>
      </c>
    </row>
    <row r="36">
      <c r="A36" s="3" t="inlineStr">
        <is>
          <t>FV0032</t>
        </is>
      </c>
      <c r="B36" s="3" t="inlineStr">
        <is>
          <t>Bank A</t>
        </is>
      </c>
      <c r="C36" s="3" t="inlineStr">
        <is>
          <t>CL001</t>
        </is>
      </c>
      <c r="D36" s="4" t="n">
        <v>45727</v>
      </c>
      <c r="E36" s="4" t="n">
        <v>45757</v>
      </c>
      <c r="F36" s="4" t="n">
        <v>45754</v>
      </c>
      <c r="G36" s="3" t="inlineStr">
        <is>
          <t>GBP</t>
        </is>
      </c>
      <c r="H36" s="5" t="n">
        <v>10000000</v>
      </c>
      <c r="I36" s="6" t="n">
        <v>38129.08</v>
      </c>
      <c r="J36" s="3" t="inlineStr">
        <is>
          <t>GBP 10m 11.03.2025 - 10.04.2025</t>
        </is>
      </c>
      <c r="K36" s="3">
        <f>E36-D36</f>
        <v/>
      </c>
      <c r="L36" s="7">
        <f>IF(K36&gt;0, I36/H36*360/K36, 0)</f>
        <v/>
      </c>
      <c r="M36" s="3">
        <f>AND(TODAY()&gt;=D36, TODAY()&lt;E36)</f>
        <v/>
      </c>
    </row>
    <row r="37">
      <c r="A37" s="3" t="inlineStr">
        <is>
          <t>FV0033</t>
        </is>
      </c>
      <c r="B37" s="3" t="inlineStr">
        <is>
          <t>Bank B</t>
        </is>
      </c>
      <c r="C37" s="3" t="inlineStr">
        <is>
          <t>CL002</t>
        </is>
      </c>
      <c r="D37" s="4" t="n">
        <v>45723</v>
      </c>
      <c r="E37" s="4" t="n">
        <v>45753</v>
      </c>
      <c r="F37" s="4" t="n">
        <v>45749</v>
      </c>
      <c r="G37" s="3" t="inlineStr">
        <is>
          <t>EUR</t>
        </is>
      </c>
      <c r="H37" s="5" t="n">
        <v>10000000</v>
      </c>
      <c r="I37" s="6" t="n">
        <v>22289.42</v>
      </c>
      <c r="J37" s="3" t="inlineStr">
        <is>
          <t>EUR 10m 07.03.2025 - 06.04.2025</t>
        </is>
      </c>
      <c r="K37" s="3">
        <f>E37-D37</f>
        <v/>
      </c>
      <c r="L37" s="7">
        <f>IF(K37&gt;0, I37/H37*360/K37, 0)</f>
        <v/>
      </c>
      <c r="M37" s="3">
        <f>AND(TODAY()&gt;=D37, TODAY()&lt;E37)</f>
        <v/>
      </c>
    </row>
    <row r="38">
      <c r="A38" s="3" t="inlineStr">
        <is>
          <t>FV0034</t>
        </is>
      </c>
      <c r="B38" s="3" t="inlineStr">
        <is>
          <t>Bank A</t>
        </is>
      </c>
      <c r="C38" s="3" t="inlineStr">
        <is>
          <t>CL001</t>
        </is>
      </c>
      <c r="D38" s="4" t="n">
        <v>45727</v>
      </c>
      <c r="E38" s="4" t="n">
        <v>45757</v>
      </c>
      <c r="F38" s="4" t="n">
        <v>45754</v>
      </c>
      <c r="G38" s="3" t="inlineStr">
        <is>
          <t>GBP</t>
        </is>
      </c>
      <c r="H38" s="5" t="n">
        <v>10000000</v>
      </c>
      <c r="I38" s="6" t="n">
        <v>34443.39</v>
      </c>
      <c r="J38" s="3" t="inlineStr">
        <is>
          <t>GBP 10m 11.03.2025 - 10.04.2025</t>
        </is>
      </c>
      <c r="K38" s="3">
        <f>E38-D38</f>
        <v/>
      </c>
      <c r="L38" s="7">
        <f>IF(K38&gt;0, I38/H38*360/K38, 0)</f>
        <v/>
      </c>
      <c r="M38" s="3">
        <f>AND(TODAY()&gt;=D38, TODAY()&lt;E38)</f>
        <v/>
      </c>
    </row>
    <row r="39">
      <c r="A39" s="3" t="inlineStr">
        <is>
          <t>FV0035</t>
        </is>
      </c>
      <c r="B39" s="3" t="inlineStr">
        <is>
          <t>Bank D</t>
        </is>
      </c>
      <c r="C39" s="3" t="inlineStr">
        <is>
          <t>CL004</t>
        </is>
      </c>
      <c r="D39" s="4" t="n">
        <v>45727</v>
      </c>
      <c r="E39" s="4" t="n">
        <v>45757</v>
      </c>
      <c r="F39" s="4" t="n">
        <v>45754</v>
      </c>
      <c r="G39" s="3" t="inlineStr">
        <is>
          <t>USD</t>
        </is>
      </c>
      <c r="H39" s="5" t="n">
        <v>20000000</v>
      </c>
      <c r="I39" s="6" t="n">
        <v>84151.25</v>
      </c>
      <c r="J39" s="3" t="inlineStr">
        <is>
          <t>USD 20m 11.03.2025 - 10.04.2025</t>
        </is>
      </c>
      <c r="K39" s="3">
        <f>E39-D39</f>
        <v/>
      </c>
      <c r="L39" s="7">
        <f>IF(K39&gt;0, I39/H39*360/K39, 0)</f>
        <v/>
      </c>
      <c r="M39" s="3">
        <f>AND(TODAY()&gt;=D39, TODAY()&lt;E39)</f>
        <v/>
      </c>
    </row>
    <row r="40">
      <c r="A40" s="3" t="inlineStr">
        <is>
          <t>FV0036</t>
        </is>
      </c>
      <c r="B40" s="3" t="inlineStr">
        <is>
          <t>Bank B</t>
        </is>
      </c>
      <c r="C40" s="3" t="inlineStr">
        <is>
          <t>CL002</t>
        </is>
      </c>
      <c r="D40" s="4" t="n">
        <v>45724</v>
      </c>
      <c r="E40" s="4" t="n">
        <v>45754</v>
      </c>
      <c r="F40" s="4" t="n">
        <v>45749</v>
      </c>
      <c r="G40" s="3" t="inlineStr">
        <is>
          <t>USD</t>
        </is>
      </c>
      <c r="H40" s="5" t="n">
        <v>100000000</v>
      </c>
      <c r="I40" s="6" t="n">
        <v>368551.96</v>
      </c>
      <c r="J40" s="3" t="inlineStr">
        <is>
          <t>USD 100m 08.03.2025 - 07.04.2025</t>
        </is>
      </c>
      <c r="K40" s="3">
        <f>E40-D40</f>
        <v/>
      </c>
      <c r="L40" s="7">
        <f>IF(K40&gt;0, I40/H40*360/K40, 0)</f>
        <v/>
      </c>
      <c r="M40" s="3">
        <f>AND(TODAY()&gt;=D40, TODAY()&lt;E40)</f>
        <v/>
      </c>
    </row>
    <row r="41">
      <c r="A41" s="3" t="inlineStr">
        <is>
          <t>FV0037</t>
        </is>
      </c>
      <c r="B41" s="3" t="inlineStr">
        <is>
          <t>Bank D</t>
        </is>
      </c>
      <c r="C41" s="3" t="inlineStr">
        <is>
          <t>CL004</t>
        </is>
      </c>
      <c r="D41" s="4" t="n">
        <v>45726</v>
      </c>
      <c r="E41" s="4" t="n">
        <v>45756</v>
      </c>
      <c r="F41" s="4" t="n">
        <v>45751</v>
      </c>
      <c r="G41" s="3" t="inlineStr">
        <is>
          <t>EUR</t>
        </is>
      </c>
      <c r="H41" s="5" t="n">
        <v>100000000</v>
      </c>
      <c r="I41" s="6" t="n">
        <v>246702.47</v>
      </c>
      <c r="J41" s="3" t="inlineStr">
        <is>
          <t>EUR 100m 10.03.2025 - 09.04.2025</t>
        </is>
      </c>
      <c r="K41" s="3">
        <f>E41-D41</f>
        <v/>
      </c>
      <c r="L41" s="7">
        <f>IF(K41&gt;0, I41/H41*360/K41, 0)</f>
        <v/>
      </c>
      <c r="M41" s="3">
        <f>AND(TODAY()&gt;=D41, TODAY()&lt;E41)</f>
        <v/>
      </c>
    </row>
    <row r="42">
      <c r="A42" s="3" t="inlineStr">
        <is>
          <t>FV0038</t>
        </is>
      </c>
      <c r="B42" s="3" t="inlineStr">
        <is>
          <t>Bank A</t>
        </is>
      </c>
      <c r="C42" s="3" t="inlineStr">
        <is>
          <t>CL001</t>
        </is>
      </c>
      <c r="D42" s="4" t="n">
        <v>45723</v>
      </c>
      <c r="E42" s="4" t="n">
        <v>45753</v>
      </c>
      <c r="F42" s="4" t="n">
        <v>45749</v>
      </c>
      <c r="G42" s="3" t="inlineStr">
        <is>
          <t>EUR</t>
        </is>
      </c>
      <c r="H42" s="5" t="n">
        <v>10000000</v>
      </c>
      <c r="I42" s="6" t="n">
        <v>24026.21</v>
      </c>
      <c r="J42" s="3" t="inlineStr">
        <is>
          <t>EUR 10m 07.03.2025 - 06.04.2025</t>
        </is>
      </c>
      <c r="K42" s="3">
        <f>E42-D42</f>
        <v/>
      </c>
      <c r="L42" s="7">
        <f>IF(K42&gt;0, I42/H42*360/K42, 0)</f>
        <v/>
      </c>
      <c r="M42" s="3">
        <f>AND(TODAY()&gt;=D42, TODAY()&lt;E42)</f>
        <v/>
      </c>
    </row>
    <row r="43">
      <c r="A43" s="3" t="inlineStr">
        <is>
          <t>FV0039</t>
        </is>
      </c>
      <c r="B43" s="3" t="inlineStr">
        <is>
          <t>Bank C</t>
        </is>
      </c>
      <c r="C43" s="3" t="inlineStr">
        <is>
          <t>CL003</t>
        </is>
      </c>
      <c r="D43" s="4" t="n">
        <v>45724</v>
      </c>
      <c r="E43" s="4" t="n">
        <v>45754</v>
      </c>
      <c r="F43" s="4" t="n">
        <v>45749</v>
      </c>
      <c r="G43" s="3" t="inlineStr">
        <is>
          <t>GBP</t>
        </is>
      </c>
      <c r="H43" s="5" t="n">
        <v>20000000</v>
      </c>
      <c r="I43" s="6" t="n">
        <v>67771.53999999999</v>
      </c>
      <c r="J43" s="3" t="inlineStr">
        <is>
          <t>GBP 20m 08.03.2025 - 07.04.2025</t>
        </is>
      </c>
      <c r="K43" s="3">
        <f>E43-D43</f>
        <v/>
      </c>
      <c r="L43" s="7">
        <f>IF(K43&gt;0, I43/H43*360/K43, 0)</f>
        <v/>
      </c>
      <c r="M43" s="3">
        <f>AND(TODAY()&gt;=D43, TODAY()&lt;E43)</f>
        <v/>
      </c>
    </row>
    <row r="44">
      <c r="A44" s="3" t="inlineStr">
        <is>
          <t>FV0040</t>
        </is>
      </c>
      <c r="B44" s="3" t="inlineStr">
        <is>
          <t>Bank D</t>
        </is>
      </c>
      <c r="C44" s="3" t="inlineStr">
        <is>
          <t>CL004</t>
        </is>
      </c>
      <c r="D44" s="4" t="n">
        <v>45724</v>
      </c>
      <c r="E44" s="4" t="n">
        <v>45754</v>
      </c>
      <c r="F44" s="4" t="n">
        <v>45749</v>
      </c>
      <c r="G44" s="3" t="inlineStr">
        <is>
          <t>USD</t>
        </is>
      </c>
      <c r="H44" s="5" t="n">
        <v>100000000</v>
      </c>
      <c r="I44" s="6" t="n">
        <v>388509.06</v>
      </c>
      <c r="J44" s="3" t="inlineStr">
        <is>
          <t>USD 100m 08.03.2025 - 07.04.2025</t>
        </is>
      </c>
      <c r="K44" s="3">
        <f>E44-D44</f>
        <v/>
      </c>
      <c r="L44" s="7">
        <f>IF(K44&gt;0, I44/H44*360/K44, 0)</f>
        <v/>
      </c>
      <c r="M44" s="3">
        <f>AND(TODAY()&gt;=D44, TODAY()&lt;E44)</f>
        <v/>
      </c>
    </row>
    <row r="45">
      <c r="A45" s="3" t="inlineStr">
        <is>
          <t>FV0041</t>
        </is>
      </c>
      <c r="B45" s="3" t="inlineStr">
        <is>
          <t>Bank B</t>
        </is>
      </c>
      <c r="C45" s="3" t="inlineStr">
        <is>
          <t>CL002</t>
        </is>
      </c>
      <c r="D45" s="4" t="n">
        <v>45727</v>
      </c>
      <c r="E45" s="4" t="n">
        <v>45757</v>
      </c>
      <c r="F45" s="4" t="n">
        <v>45754</v>
      </c>
      <c r="G45" s="3" t="inlineStr">
        <is>
          <t>EUR</t>
        </is>
      </c>
      <c r="H45" s="5" t="n">
        <v>100000000</v>
      </c>
      <c r="I45" s="6" t="n">
        <v>209790.87</v>
      </c>
      <c r="J45" s="3" t="inlineStr">
        <is>
          <t>EUR 100m 11.03.2025 - 10.04.2025</t>
        </is>
      </c>
      <c r="K45" s="3">
        <f>E45-D45</f>
        <v/>
      </c>
      <c r="L45" s="7">
        <f>IF(K45&gt;0, I45/H45*360/K45, 0)</f>
        <v/>
      </c>
      <c r="M45" s="3">
        <f>AND(TODAY()&gt;=D45, TODAY()&lt;E45)</f>
        <v/>
      </c>
    </row>
    <row r="46">
      <c r="A46" s="3" t="inlineStr">
        <is>
          <t>FV0042</t>
        </is>
      </c>
      <c r="B46" s="3" t="inlineStr">
        <is>
          <t>Bank A</t>
        </is>
      </c>
      <c r="C46" s="3" t="inlineStr">
        <is>
          <t>CL001</t>
        </is>
      </c>
      <c r="D46" s="4" t="n">
        <v>45724</v>
      </c>
      <c r="E46" s="4" t="n">
        <v>45754</v>
      </c>
      <c r="F46" s="4" t="n">
        <v>45749</v>
      </c>
      <c r="G46" s="3" t="inlineStr">
        <is>
          <t>CHF</t>
        </is>
      </c>
      <c r="H46" s="5" t="n">
        <v>20000000</v>
      </c>
      <c r="I46" s="6" t="n">
        <v>28074.83</v>
      </c>
      <c r="J46" s="3" t="inlineStr">
        <is>
          <t>CHF 20m 08.03.2025 - 07.04.2025</t>
        </is>
      </c>
      <c r="K46" s="3">
        <f>E46-D46</f>
        <v/>
      </c>
      <c r="L46" s="7">
        <f>IF(K46&gt;0, I46/H46*360/K46, 0)</f>
        <v/>
      </c>
      <c r="M46" s="3">
        <f>AND(TODAY()&gt;=D46, TODAY()&lt;E46)</f>
        <v/>
      </c>
    </row>
    <row r="47">
      <c r="A47" s="3" t="inlineStr">
        <is>
          <t>FV0043</t>
        </is>
      </c>
      <c r="B47" s="3" t="inlineStr">
        <is>
          <t>Bank D</t>
        </is>
      </c>
      <c r="C47" s="3" t="inlineStr">
        <is>
          <t>CL004</t>
        </is>
      </c>
      <c r="D47" s="4" t="n">
        <v>45723</v>
      </c>
      <c r="E47" s="4" t="n">
        <v>45753</v>
      </c>
      <c r="F47" s="4" t="n">
        <v>45749</v>
      </c>
      <c r="G47" s="3" t="inlineStr">
        <is>
          <t>USD</t>
        </is>
      </c>
      <c r="H47" s="5" t="n">
        <v>100000000</v>
      </c>
      <c r="I47" s="6" t="n">
        <v>376169.02</v>
      </c>
      <c r="J47" s="3" t="inlineStr">
        <is>
          <t>USD 100m 07.03.2025 - 06.04.2025</t>
        </is>
      </c>
      <c r="K47" s="3">
        <f>E47-D47</f>
        <v/>
      </c>
      <c r="L47" s="7">
        <f>IF(K47&gt;0, I47/H47*360/K47, 0)</f>
        <v/>
      </c>
      <c r="M47" s="3">
        <f>AND(TODAY()&gt;=D47, TODAY()&lt;E47)</f>
        <v/>
      </c>
    </row>
    <row r="48">
      <c r="A48" s="3" t="inlineStr">
        <is>
          <t>FV0044</t>
        </is>
      </c>
      <c r="B48" s="3" t="inlineStr">
        <is>
          <t>Bank A</t>
        </is>
      </c>
      <c r="C48" s="3" t="inlineStr">
        <is>
          <t>CL001</t>
        </is>
      </c>
      <c r="D48" s="4" t="n">
        <v>45726</v>
      </c>
      <c r="E48" s="4" t="n">
        <v>45756</v>
      </c>
      <c r="F48" s="4" t="n">
        <v>45751</v>
      </c>
      <c r="G48" s="3" t="inlineStr">
        <is>
          <t>GBP</t>
        </is>
      </c>
      <c r="H48" s="5" t="n">
        <v>50000000</v>
      </c>
      <c r="I48" s="6" t="n">
        <v>174972.87</v>
      </c>
      <c r="J48" s="3" t="inlineStr">
        <is>
          <t>GBP 50m 10.03.2025 - 09.04.2025</t>
        </is>
      </c>
      <c r="K48" s="3">
        <f>E48-D48</f>
        <v/>
      </c>
      <c r="L48" s="7">
        <f>IF(K48&gt;0, I48/H48*360/K48, 0)</f>
        <v/>
      </c>
      <c r="M48" s="3">
        <f>AND(TODAY()&gt;=D48, TODAY()&lt;E48)</f>
        <v/>
      </c>
    </row>
    <row r="49">
      <c r="A49" s="3" t="inlineStr">
        <is>
          <t>FV0045</t>
        </is>
      </c>
      <c r="B49" s="3" t="inlineStr">
        <is>
          <t>Bank D</t>
        </is>
      </c>
      <c r="C49" s="3" t="inlineStr">
        <is>
          <t>CL004</t>
        </is>
      </c>
      <c r="D49" s="4" t="n">
        <v>45725</v>
      </c>
      <c r="E49" s="4" t="n">
        <v>45755</v>
      </c>
      <c r="F49" s="4" t="n">
        <v>45750</v>
      </c>
      <c r="G49" s="3" t="inlineStr">
        <is>
          <t>USD</t>
        </is>
      </c>
      <c r="H49" s="5" t="n">
        <v>20000000</v>
      </c>
      <c r="I49" s="6" t="n">
        <v>76383.52</v>
      </c>
      <c r="J49" s="3" t="inlineStr">
        <is>
          <t>USD 20m 09.03.2025 - 08.04.2025</t>
        </is>
      </c>
      <c r="K49" s="3">
        <f>E49-D49</f>
        <v/>
      </c>
      <c r="L49" s="7">
        <f>IF(K49&gt;0, I49/H49*360/K49, 0)</f>
        <v/>
      </c>
      <c r="M49" s="3">
        <f>AND(TODAY()&gt;=D49, TODAY()&lt;E49)</f>
        <v/>
      </c>
    </row>
    <row r="50">
      <c r="A50" s="3" t="inlineStr">
        <is>
          <t>FV0046</t>
        </is>
      </c>
      <c r="B50" s="3" t="inlineStr">
        <is>
          <t>Bank A</t>
        </is>
      </c>
      <c r="C50" s="3" t="inlineStr">
        <is>
          <t>CL001</t>
        </is>
      </c>
      <c r="D50" s="4" t="n">
        <v>45753</v>
      </c>
      <c r="E50" s="4" t="n">
        <v>45783</v>
      </c>
      <c r="F50" s="4" t="n">
        <v>45778</v>
      </c>
      <c r="G50" s="3" t="inlineStr">
        <is>
          <t>EUR</t>
        </is>
      </c>
      <c r="H50" s="5" t="n">
        <v>50000000</v>
      </c>
      <c r="I50" s="6" t="n">
        <v>102507.12</v>
      </c>
      <c r="J50" s="3" t="inlineStr">
        <is>
          <t>EUR 50m 06.04.2025 - 06.05.2025</t>
        </is>
      </c>
      <c r="K50" s="3">
        <f>E50-D50</f>
        <v/>
      </c>
      <c r="L50" s="7">
        <f>IF(K50&gt;0, I50/H50*360/K50, 0)</f>
        <v/>
      </c>
      <c r="M50" s="3">
        <f>AND(TODAY()&gt;=D50, TODAY()&lt;E50)</f>
        <v/>
      </c>
    </row>
    <row r="51">
      <c r="A51" s="3" t="inlineStr">
        <is>
          <t>FV0047</t>
        </is>
      </c>
      <c r="B51" s="3" t="inlineStr">
        <is>
          <t>Bank D</t>
        </is>
      </c>
      <c r="C51" s="3" t="inlineStr">
        <is>
          <t>CL004</t>
        </is>
      </c>
      <c r="D51" s="4" t="n">
        <v>45753</v>
      </c>
      <c r="E51" s="4" t="n">
        <v>45783</v>
      </c>
      <c r="F51" s="4" t="n">
        <v>45778</v>
      </c>
      <c r="G51" s="3" t="inlineStr">
        <is>
          <t>GBP</t>
        </is>
      </c>
      <c r="H51" s="5" t="n">
        <v>20000000</v>
      </c>
      <c r="I51" s="6" t="n">
        <v>85751.50999999999</v>
      </c>
      <c r="J51" s="3" t="inlineStr">
        <is>
          <t>GBP 20m 06.04.2025 - 06.05.2025</t>
        </is>
      </c>
      <c r="K51" s="3">
        <f>E51-D51</f>
        <v/>
      </c>
      <c r="L51" s="7">
        <f>IF(K51&gt;0, I51/H51*360/K51, 0)</f>
        <v/>
      </c>
      <c r="M51" s="3">
        <f>AND(TODAY()&gt;=D51, TODAY()&lt;E51)</f>
        <v/>
      </c>
    </row>
    <row r="52">
      <c r="A52" s="3" t="inlineStr">
        <is>
          <t>FV0048</t>
        </is>
      </c>
      <c r="B52" s="3" t="inlineStr">
        <is>
          <t>Bank A</t>
        </is>
      </c>
      <c r="C52" s="3" t="inlineStr">
        <is>
          <t>CL001</t>
        </is>
      </c>
      <c r="D52" s="4" t="n">
        <v>45757</v>
      </c>
      <c r="E52" s="4" t="n">
        <v>45787</v>
      </c>
      <c r="F52" s="4" t="n">
        <v>45784</v>
      </c>
      <c r="G52" s="3" t="inlineStr">
        <is>
          <t>CHF</t>
        </is>
      </c>
      <c r="H52" s="5" t="n">
        <v>10000000</v>
      </c>
      <c r="I52" s="6" t="n">
        <v>12063.11</v>
      </c>
      <c r="J52" s="3" t="inlineStr">
        <is>
          <t>CHF 10m 10.04.2025 - 10.05.2025</t>
        </is>
      </c>
      <c r="K52" s="3">
        <f>E52-D52</f>
        <v/>
      </c>
      <c r="L52" s="7">
        <f>IF(K52&gt;0, I52/H52*360/K52, 0)</f>
        <v/>
      </c>
      <c r="M52" s="3">
        <f>AND(TODAY()&gt;=D52, TODAY()&lt;E52)</f>
        <v/>
      </c>
    </row>
    <row r="53">
      <c r="A53" s="3" t="inlineStr">
        <is>
          <t>FV0049</t>
        </is>
      </c>
      <c r="B53" s="3" t="inlineStr">
        <is>
          <t>Bank B</t>
        </is>
      </c>
      <c r="C53" s="3" t="inlineStr">
        <is>
          <t>CL002</t>
        </is>
      </c>
      <c r="D53" s="4" t="n">
        <v>45757</v>
      </c>
      <c r="E53" s="4" t="n">
        <v>45787</v>
      </c>
      <c r="F53" s="4" t="n">
        <v>45784</v>
      </c>
      <c r="G53" s="3" t="inlineStr">
        <is>
          <t>USD</t>
        </is>
      </c>
      <c r="H53" s="5" t="n">
        <v>10000000</v>
      </c>
      <c r="I53" s="6" t="n">
        <v>38500.67</v>
      </c>
      <c r="J53" s="3" t="inlineStr">
        <is>
          <t>USD 10m 10.04.2025 - 10.05.2025</t>
        </is>
      </c>
      <c r="K53" s="3">
        <f>E53-D53</f>
        <v/>
      </c>
      <c r="L53" s="7">
        <f>IF(K53&gt;0, I53/H53*360/K53, 0)</f>
        <v/>
      </c>
      <c r="M53" s="3">
        <f>AND(TODAY()&gt;=D53, TODAY()&lt;E53)</f>
        <v/>
      </c>
    </row>
    <row r="54">
      <c r="A54" s="3" t="inlineStr">
        <is>
          <t>FV0050</t>
        </is>
      </c>
      <c r="B54" s="3" t="inlineStr">
        <is>
          <t>Bank A</t>
        </is>
      </c>
      <c r="C54" s="3" t="inlineStr">
        <is>
          <t>CL001</t>
        </is>
      </c>
      <c r="D54" s="4" t="n">
        <v>45756</v>
      </c>
      <c r="E54" s="4" t="n">
        <v>45786</v>
      </c>
      <c r="F54" s="4" t="n">
        <v>45783</v>
      </c>
      <c r="G54" s="3" t="inlineStr">
        <is>
          <t>EUR</t>
        </is>
      </c>
      <c r="H54" s="5" t="n">
        <v>10000000</v>
      </c>
      <c r="I54" s="6" t="n">
        <v>26573.73</v>
      </c>
      <c r="J54" s="3" t="inlineStr">
        <is>
          <t>EUR 10m 09.04.2025 - 09.05.2025</t>
        </is>
      </c>
      <c r="K54" s="3">
        <f>E54-D54</f>
        <v/>
      </c>
      <c r="L54" s="7">
        <f>IF(K54&gt;0, I54/H54*360/K54, 0)</f>
        <v/>
      </c>
      <c r="M54" s="3">
        <f>AND(TODAY()&gt;=D54, TODAY()&lt;E54)</f>
        <v/>
      </c>
    </row>
    <row r="55">
      <c r="A55" s="3" t="inlineStr">
        <is>
          <t>FV0051</t>
        </is>
      </c>
      <c r="B55" s="3" t="inlineStr">
        <is>
          <t>Bank C</t>
        </is>
      </c>
      <c r="C55" s="3" t="inlineStr">
        <is>
          <t>CL003</t>
        </is>
      </c>
      <c r="D55" s="4" t="n">
        <v>45755</v>
      </c>
      <c r="E55" s="4" t="n">
        <v>45785</v>
      </c>
      <c r="F55" s="4" t="n">
        <v>45782</v>
      </c>
      <c r="G55" s="3" t="inlineStr">
        <is>
          <t>EUR</t>
        </is>
      </c>
      <c r="H55" s="5" t="n">
        <v>20000000</v>
      </c>
      <c r="I55" s="6" t="n">
        <v>44773.72</v>
      </c>
      <c r="J55" s="3" t="inlineStr">
        <is>
          <t>EUR 20m 08.04.2025 - 08.05.2025</t>
        </is>
      </c>
      <c r="K55" s="3">
        <f>E55-D55</f>
        <v/>
      </c>
      <c r="L55" s="7">
        <f>IF(K55&gt;0, I55/H55*360/K55, 0)</f>
        <v/>
      </c>
      <c r="M55" s="3">
        <f>AND(TODAY()&gt;=D55, TODAY()&lt;E55)</f>
        <v/>
      </c>
    </row>
    <row r="56">
      <c r="A56" s="3" t="inlineStr">
        <is>
          <t>FV0052</t>
        </is>
      </c>
      <c r="B56" s="3" t="inlineStr">
        <is>
          <t>Bank D</t>
        </is>
      </c>
      <c r="C56" s="3" t="inlineStr">
        <is>
          <t>CL004</t>
        </is>
      </c>
      <c r="D56" s="4" t="n">
        <v>45756</v>
      </c>
      <c r="E56" s="4" t="n">
        <v>45786</v>
      </c>
      <c r="F56" s="4" t="n">
        <v>45783</v>
      </c>
      <c r="G56" s="3" t="inlineStr">
        <is>
          <t>USD</t>
        </is>
      </c>
      <c r="H56" s="5" t="n">
        <v>50000000</v>
      </c>
      <c r="I56" s="6" t="n">
        <v>196292.93</v>
      </c>
      <c r="J56" s="3" t="inlineStr">
        <is>
          <t>USD 50m 09.04.2025 - 09.05.2025</t>
        </is>
      </c>
      <c r="K56" s="3">
        <f>E56-D56</f>
        <v/>
      </c>
      <c r="L56" s="7">
        <f>IF(K56&gt;0, I56/H56*360/K56, 0)</f>
        <v/>
      </c>
      <c r="M56" s="3">
        <f>AND(TODAY()&gt;=D56, TODAY()&lt;E56)</f>
        <v/>
      </c>
    </row>
    <row r="57">
      <c r="A57" s="3" t="inlineStr">
        <is>
          <t>FV0053</t>
        </is>
      </c>
      <c r="B57" s="3" t="inlineStr">
        <is>
          <t>Bank A</t>
        </is>
      </c>
      <c r="C57" s="3" t="inlineStr">
        <is>
          <t>CL001</t>
        </is>
      </c>
      <c r="D57" s="4" t="n">
        <v>45757</v>
      </c>
      <c r="E57" s="4" t="n">
        <v>45787</v>
      </c>
      <c r="F57" s="4" t="n">
        <v>45784</v>
      </c>
      <c r="G57" s="3" t="inlineStr">
        <is>
          <t>CHF</t>
        </is>
      </c>
      <c r="H57" s="5" t="n">
        <v>100000000</v>
      </c>
      <c r="I57" s="6" t="n">
        <v>174909.84</v>
      </c>
      <c r="J57" s="3" t="inlineStr">
        <is>
          <t>CHF 100m 10.04.2025 - 10.05.2025</t>
        </is>
      </c>
      <c r="K57" s="3">
        <f>E57-D57</f>
        <v/>
      </c>
      <c r="L57" s="7">
        <f>IF(K57&gt;0, I57/H57*360/K57, 0)</f>
        <v/>
      </c>
      <c r="M57" s="3">
        <f>AND(TODAY()&gt;=D57, TODAY()&lt;E57)</f>
        <v/>
      </c>
    </row>
    <row r="58">
      <c r="A58" s="3" t="inlineStr">
        <is>
          <t>FV0054</t>
        </is>
      </c>
      <c r="B58" s="3" t="inlineStr">
        <is>
          <t>Bank A</t>
        </is>
      </c>
      <c r="C58" s="3" t="inlineStr">
        <is>
          <t>CL001</t>
        </is>
      </c>
      <c r="D58" s="4" t="n">
        <v>45757</v>
      </c>
      <c r="E58" s="4" t="n">
        <v>45787</v>
      </c>
      <c r="F58" s="4" t="n">
        <v>45784</v>
      </c>
      <c r="G58" s="3" t="inlineStr">
        <is>
          <t>CHF</t>
        </is>
      </c>
      <c r="H58" s="5" t="n">
        <v>20000000</v>
      </c>
      <c r="I58" s="6" t="n">
        <v>26427.34</v>
      </c>
      <c r="J58" s="3" t="inlineStr">
        <is>
          <t>CHF 20m 10.04.2025 - 10.05.2025</t>
        </is>
      </c>
      <c r="K58" s="3">
        <f>E58-D58</f>
        <v/>
      </c>
      <c r="L58" s="7">
        <f>IF(K58&gt;0, I58/H58*360/K58, 0)</f>
        <v/>
      </c>
      <c r="M58" s="3">
        <f>AND(TODAY()&gt;=D58, TODAY()&lt;E58)</f>
        <v/>
      </c>
    </row>
    <row r="59">
      <c r="A59" s="3" t="inlineStr">
        <is>
          <t>FV0055</t>
        </is>
      </c>
      <c r="B59" s="3" t="inlineStr">
        <is>
          <t>Bank C</t>
        </is>
      </c>
      <c r="C59" s="3" t="inlineStr">
        <is>
          <t>CL003</t>
        </is>
      </c>
      <c r="D59" s="4" t="n">
        <v>45755</v>
      </c>
      <c r="E59" s="4" t="n">
        <v>45785</v>
      </c>
      <c r="F59" s="4" t="n">
        <v>45782</v>
      </c>
      <c r="G59" s="3" t="inlineStr">
        <is>
          <t>GBP</t>
        </is>
      </c>
      <c r="H59" s="5" t="n">
        <v>20000000</v>
      </c>
      <c r="I59" s="6" t="n">
        <v>69983.03999999999</v>
      </c>
      <c r="J59" s="3" t="inlineStr">
        <is>
          <t>GBP 20m 08.04.2025 - 08.05.2025</t>
        </is>
      </c>
      <c r="K59" s="3">
        <f>E59-D59</f>
        <v/>
      </c>
      <c r="L59" s="7">
        <f>IF(K59&gt;0, I59/H59*360/K59, 0)</f>
        <v/>
      </c>
      <c r="M59" s="3">
        <f>AND(TODAY()&gt;=D59, TODAY()&lt;E59)</f>
        <v/>
      </c>
    </row>
    <row r="60">
      <c r="A60" s="3" t="inlineStr">
        <is>
          <t>FV0056</t>
        </is>
      </c>
      <c r="B60" s="3" t="inlineStr">
        <is>
          <t>Bank D</t>
        </is>
      </c>
      <c r="C60" s="3" t="inlineStr">
        <is>
          <t>CL004</t>
        </is>
      </c>
      <c r="D60" s="4" t="n">
        <v>45757</v>
      </c>
      <c r="E60" s="4" t="n">
        <v>45787</v>
      </c>
      <c r="F60" s="4" t="n">
        <v>45784</v>
      </c>
      <c r="G60" s="3" t="inlineStr">
        <is>
          <t>GBP</t>
        </is>
      </c>
      <c r="H60" s="5" t="n">
        <v>50000000</v>
      </c>
      <c r="I60" s="6" t="n">
        <v>215724.78</v>
      </c>
      <c r="J60" s="3" t="inlineStr">
        <is>
          <t>GBP 50m 10.04.2025 - 10.05.2025</t>
        </is>
      </c>
      <c r="K60" s="3">
        <f>E60-D60</f>
        <v/>
      </c>
      <c r="L60" s="7">
        <f>IF(K60&gt;0, I60/H60*360/K60, 0)</f>
        <v/>
      </c>
      <c r="M60" s="3">
        <f>AND(TODAY()&gt;=D60, TODAY()&lt;E60)</f>
        <v/>
      </c>
    </row>
    <row r="61">
      <c r="A61" s="3" t="inlineStr">
        <is>
          <t>FV0057</t>
        </is>
      </c>
      <c r="B61" s="3" t="inlineStr">
        <is>
          <t>Bank A</t>
        </is>
      </c>
      <c r="C61" s="3" t="inlineStr">
        <is>
          <t>CL001</t>
        </is>
      </c>
      <c r="D61" s="4" t="n">
        <v>45753</v>
      </c>
      <c r="E61" s="4" t="n">
        <v>45783</v>
      </c>
      <c r="F61" s="4" t="n">
        <v>45778</v>
      </c>
      <c r="G61" s="3" t="inlineStr">
        <is>
          <t>EUR</t>
        </is>
      </c>
      <c r="H61" s="5" t="n">
        <v>50000000</v>
      </c>
      <c r="I61" s="6" t="n">
        <v>146946.5</v>
      </c>
      <c r="J61" s="3" t="inlineStr">
        <is>
          <t>EUR 50m 06.04.2025 - 06.05.2025</t>
        </is>
      </c>
      <c r="K61" s="3">
        <f>E61-D61</f>
        <v/>
      </c>
      <c r="L61" s="7">
        <f>IF(K61&gt;0, I61/H61*360/K61, 0)</f>
        <v/>
      </c>
      <c r="M61" s="3">
        <f>AND(TODAY()&gt;=D61, TODAY()&lt;E61)</f>
        <v/>
      </c>
    </row>
    <row r="62">
      <c r="A62" s="3" t="inlineStr">
        <is>
          <t>FV0058</t>
        </is>
      </c>
      <c r="B62" s="3" t="inlineStr">
        <is>
          <t>Bank C</t>
        </is>
      </c>
      <c r="C62" s="3" t="inlineStr">
        <is>
          <t>CL003</t>
        </is>
      </c>
      <c r="D62" s="4" t="n">
        <v>45787</v>
      </c>
      <c r="E62" s="4" t="n">
        <v>45817</v>
      </c>
      <c r="F62" s="4" t="n">
        <v>45812</v>
      </c>
      <c r="G62" s="3" t="inlineStr">
        <is>
          <t>GBP</t>
        </is>
      </c>
      <c r="H62" s="5" t="n">
        <v>10000000</v>
      </c>
      <c r="I62" s="6" t="n">
        <v>33480.23</v>
      </c>
      <c r="J62" s="3" t="inlineStr">
        <is>
          <t>GBP 10m 10.05.2025 - 09.06.2025</t>
        </is>
      </c>
      <c r="K62" s="3">
        <f>E62-D62</f>
        <v/>
      </c>
      <c r="L62" s="7">
        <f>IF(K62&gt;0, I62/H62*360/K62, 0)</f>
        <v/>
      </c>
      <c r="M62" s="3">
        <f>AND(TODAY()&gt;=D62, TODAY()&lt;E62)</f>
        <v/>
      </c>
    </row>
    <row r="63">
      <c r="A63" s="3" t="inlineStr">
        <is>
          <t>FV0059</t>
        </is>
      </c>
      <c r="B63" s="3" t="inlineStr">
        <is>
          <t>Bank C</t>
        </is>
      </c>
      <c r="C63" s="3" t="inlineStr">
        <is>
          <t>CL003</t>
        </is>
      </c>
      <c r="D63" s="4" t="n">
        <v>45785</v>
      </c>
      <c r="E63" s="4" t="n">
        <v>45815</v>
      </c>
      <c r="F63" s="4" t="n">
        <v>45812</v>
      </c>
      <c r="G63" s="3" t="inlineStr">
        <is>
          <t>USD</t>
        </is>
      </c>
      <c r="H63" s="5" t="n">
        <v>20000000</v>
      </c>
      <c r="I63" s="6" t="n">
        <v>76077.94</v>
      </c>
      <c r="J63" s="3" t="inlineStr">
        <is>
          <t>USD 20m 08.05.2025 - 07.06.2025</t>
        </is>
      </c>
      <c r="K63" s="3">
        <f>E63-D63</f>
        <v/>
      </c>
      <c r="L63" s="7">
        <f>IF(K63&gt;0, I63/H63*360/K63, 0)</f>
        <v/>
      </c>
      <c r="M63" s="3">
        <f>AND(TODAY()&gt;=D63, TODAY()&lt;E63)</f>
        <v/>
      </c>
    </row>
    <row r="64">
      <c r="A64" s="3" t="inlineStr">
        <is>
          <t>FV0060</t>
        </is>
      </c>
      <c r="B64" s="3" t="inlineStr">
        <is>
          <t>Bank C</t>
        </is>
      </c>
      <c r="C64" s="3" t="inlineStr">
        <is>
          <t>CL003</t>
        </is>
      </c>
      <c r="D64" s="4" t="n">
        <v>45785</v>
      </c>
      <c r="E64" s="4" t="n">
        <v>45815</v>
      </c>
      <c r="F64" s="4" t="n">
        <v>45812</v>
      </c>
      <c r="G64" s="3" t="inlineStr">
        <is>
          <t>USD</t>
        </is>
      </c>
      <c r="H64" s="5" t="n">
        <v>100000000</v>
      </c>
      <c r="I64" s="6" t="n">
        <v>456411.45</v>
      </c>
      <c r="J64" s="3" t="inlineStr">
        <is>
          <t>USD 100m 08.05.2025 - 07.06.2025</t>
        </is>
      </c>
      <c r="K64" s="3">
        <f>E64-D64</f>
        <v/>
      </c>
      <c r="L64" s="7">
        <f>IF(K64&gt;0, I64/H64*360/K64, 0)</f>
        <v/>
      </c>
      <c r="M64" s="3">
        <f>AND(TODAY()&gt;=D64, TODAY()&lt;E64)</f>
        <v/>
      </c>
    </row>
    <row r="65">
      <c r="A65" s="3" t="inlineStr">
        <is>
          <t>FV0061</t>
        </is>
      </c>
      <c r="B65" s="3" t="inlineStr">
        <is>
          <t>Bank A</t>
        </is>
      </c>
      <c r="C65" s="3" t="inlineStr">
        <is>
          <t>CL001</t>
        </is>
      </c>
      <c r="D65" s="4" t="n">
        <v>45785</v>
      </c>
      <c r="E65" s="4" t="n">
        <v>45815</v>
      </c>
      <c r="F65" s="4" t="n">
        <v>45812</v>
      </c>
      <c r="G65" s="3" t="inlineStr">
        <is>
          <t>CHF</t>
        </is>
      </c>
      <c r="H65" s="5" t="n">
        <v>100000000</v>
      </c>
      <c r="I65" s="6" t="n">
        <v>119238.39</v>
      </c>
      <c r="J65" s="3" t="inlineStr">
        <is>
          <t>CHF 100m 08.05.2025 - 07.06.2025</t>
        </is>
      </c>
      <c r="K65" s="3">
        <f>E65-D65</f>
        <v/>
      </c>
      <c r="L65" s="7">
        <f>IF(K65&gt;0, I65/H65*360/K65, 0)</f>
        <v/>
      </c>
      <c r="M65" s="3">
        <f>AND(TODAY()&gt;=D65, TODAY()&lt;E65)</f>
        <v/>
      </c>
    </row>
    <row r="66">
      <c r="A66" s="3" t="inlineStr">
        <is>
          <t>FV0062</t>
        </is>
      </c>
      <c r="B66" s="3" t="inlineStr">
        <is>
          <t>Bank C</t>
        </is>
      </c>
      <c r="C66" s="3" t="inlineStr">
        <is>
          <t>CL003</t>
        </is>
      </c>
      <c r="D66" s="4" t="n">
        <v>45784</v>
      </c>
      <c r="E66" s="4" t="n">
        <v>45814</v>
      </c>
      <c r="F66" s="4" t="n">
        <v>45811</v>
      </c>
      <c r="G66" s="3" t="inlineStr">
        <is>
          <t>GBP</t>
        </is>
      </c>
      <c r="H66" s="5" t="n">
        <v>50000000</v>
      </c>
      <c r="I66" s="6" t="n">
        <v>201571.8</v>
      </c>
      <c r="J66" s="3" t="inlineStr">
        <is>
          <t>GBP 50m 07.05.2025 - 06.06.2025</t>
        </is>
      </c>
      <c r="K66" s="3">
        <f>E66-D66</f>
        <v/>
      </c>
      <c r="L66" s="7">
        <f>IF(K66&gt;0, I66/H66*360/K66, 0)</f>
        <v/>
      </c>
      <c r="M66" s="3">
        <f>AND(TODAY()&gt;=D66, TODAY()&lt;E66)</f>
        <v/>
      </c>
    </row>
    <row r="67">
      <c r="A67" s="3" t="inlineStr">
        <is>
          <t>FV0063</t>
        </is>
      </c>
      <c r="B67" s="3" t="inlineStr">
        <is>
          <t>Bank D</t>
        </is>
      </c>
      <c r="C67" s="3" t="inlineStr">
        <is>
          <t>CL004</t>
        </is>
      </c>
      <c r="D67" s="4" t="n">
        <v>45783</v>
      </c>
      <c r="E67" s="4" t="n">
        <v>45813</v>
      </c>
      <c r="F67" s="4" t="n">
        <v>45810</v>
      </c>
      <c r="G67" s="3" t="inlineStr">
        <is>
          <t>GBP</t>
        </is>
      </c>
      <c r="H67" s="5" t="n">
        <v>10000000</v>
      </c>
      <c r="I67" s="6" t="n">
        <v>32544.51</v>
      </c>
      <c r="J67" s="3" t="inlineStr">
        <is>
          <t>GBP 10m 06.05.2025 - 05.06.2025</t>
        </is>
      </c>
      <c r="K67" s="3">
        <f>E67-D67</f>
        <v/>
      </c>
      <c r="L67" s="7">
        <f>IF(K67&gt;0, I67/H67*360/K67, 0)</f>
        <v/>
      </c>
      <c r="M67" s="3">
        <f>AND(TODAY()&gt;=D67, TODAY()&lt;E67)</f>
        <v/>
      </c>
    </row>
    <row r="68">
      <c r="A68" s="3" t="inlineStr">
        <is>
          <t>FV0064</t>
        </is>
      </c>
      <c r="B68" s="3" t="inlineStr">
        <is>
          <t>Bank B</t>
        </is>
      </c>
      <c r="C68" s="3" t="inlineStr">
        <is>
          <t>CL002</t>
        </is>
      </c>
      <c r="D68" s="4" t="n">
        <v>45785</v>
      </c>
      <c r="E68" s="4" t="n">
        <v>45815</v>
      </c>
      <c r="F68" s="4" t="n">
        <v>45812</v>
      </c>
      <c r="G68" s="3" t="inlineStr">
        <is>
          <t>GBP</t>
        </is>
      </c>
      <c r="H68" s="5" t="n">
        <v>10000000</v>
      </c>
      <c r="I68" s="6" t="n">
        <v>38462.61</v>
      </c>
      <c r="J68" s="3" t="inlineStr">
        <is>
          <t>GBP 10m 08.05.2025 - 07.06.2025</t>
        </is>
      </c>
      <c r="K68" s="3">
        <f>E68-D68</f>
        <v/>
      </c>
      <c r="L68" s="7">
        <f>IF(K68&gt;0, I68/H68*360/K68, 0)</f>
        <v/>
      </c>
      <c r="M68" s="3">
        <f>AND(TODAY()&gt;=D68, TODAY()&lt;E68)</f>
        <v/>
      </c>
    </row>
    <row r="69">
      <c r="A69" s="3" t="inlineStr">
        <is>
          <t>FV0065</t>
        </is>
      </c>
      <c r="B69" s="3" t="inlineStr">
        <is>
          <t>Bank B</t>
        </is>
      </c>
      <c r="C69" s="3" t="inlineStr">
        <is>
          <t>CL002</t>
        </is>
      </c>
      <c r="D69" s="4" t="n">
        <v>45783</v>
      </c>
      <c r="E69" s="4" t="n">
        <v>45813</v>
      </c>
      <c r="F69" s="4" t="n">
        <v>45810</v>
      </c>
      <c r="G69" s="3" t="inlineStr">
        <is>
          <t>USD</t>
        </is>
      </c>
      <c r="H69" s="5" t="n">
        <v>20000000</v>
      </c>
      <c r="I69" s="6" t="n">
        <v>78345.60000000001</v>
      </c>
      <c r="J69" s="3" t="inlineStr">
        <is>
          <t>USD 20m 06.05.2025 - 05.06.2025</t>
        </is>
      </c>
      <c r="K69" s="3">
        <f>E69-D69</f>
        <v/>
      </c>
      <c r="L69" s="7">
        <f>IF(K69&gt;0, I69/H69*360/K69, 0)</f>
        <v/>
      </c>
      <c r="M69" s="3">
        <f>AND(TODAY()&gt;=D69, TODAY()&lt;E69)</f>
        <v/>
      </c>
    </row>
    <row r="70">
      <c r="A70" s="3" t="inlineStr">
        <is>
          <t>FV0066</t>
        </is>
      </c>
      <c r="B70" s="3" t="inlineStr">
        <is>
          <t>Bank A</t>
        </is>
      </c>
      <c r="C70" s="3" t="inlineStr">
        <is>
          <t>CL001</t>
        </is>
      </c>
      <c r="D70" s="4" t="n">
        <v>45784</v>
      </c>
      <c r="E70" s="4" t="n">
        <v>45814</v>
      </c>
      <c r="F70" s="4" t="n">
        <v>45811</v>
      </c>
      <c r="G70" s="3" t="inlineStr">
        <is>
          <t>GBP</t>
        </is>
      </c>
      <c r="H70" s="5" t="n">
        <v>20000000</v>
      </c>
      <c r="I70" s="6" t="n">
        <v>78895.11</v>
      </c>
      <c r="J70" s="3" t="inlineStr">
        <is>
          <t>GBP 20m 07.05.2025 - 06.06.2025</t>
        </is>
      </c>
      <c r="K70" s="3">
        <f>E70-D70</f>
        <v/>
      </c>
      <c r="L70" s="7">
        <f>IF(K70&gt;0, I70/H70*360/K70, 0)</f>
        <v/>
      </c>
      <c r="M70" s="3">
        <f>AND(TODAY()&gt;=D70, TODAY()&lt;E70)</f>
        <v/>
      </c>
    </row>
    <row r="71">
      <c r="A71" s="3" t="inlineStr">
        <is>
          <t>FV0067</t>
        </is>
      </c>
      <c r="B71" s="3" t="inlineStr">
        <is>
          <t>Bank C</t>
        </is>
      </c>
      <c r="C71" s="3" t="inlineStr">
        <is>
          <t>CL003</t>
        </is>
      </c>
      <c r="D71" s="4" t="n">
        <v>45787</v>
      </c>
      <c r="E71" s="4" t="n">
        <v>45817</v>
      </c>
      <c r="F71" s="4" t="n">
        <v>45812</v>
      </c>
      <c r="G71" s="3" t="inlineStr">
        <is>
          <t>USD</t>
        </is>
      </c>
      <c r="H71" s="5" t="n">
        <v>100000000</v>
      </c>
      <c r="I71" s="6" t="n">
        <v>439526.74</v>
      </c>
      <c r="J71" s="3" t="inlineStr">
        <is>
          <t>USD 100m 10.05.2025 - 09.06.2025</t>
        </is>
      </c>
      <c r="K71" s="3">
        <f>E71-D71</f>
        <v/>
      </c>
      <c r="L71" s="7">
        <f>IF(K71&gt;0, I71/H71*360/K71, 0)</f>
        <v/>
      </c>
      <c r="M71" s="3">
        <f>AND(TODAY()&gt;=D71, TODAY()&lt;E71)</f>
        <v/>
      </c>
    </row>
    <row r="72">
      <c r="A72" s="3" t="inlineStr">
        <is>
          <t>FV0068</t>
        </is>
      </c>
      <c r="B72" s="3" t="inlineStr">
        <is>
          <t>Bank B</t>
        </is>
      </c>
      <c r="C72" s="3" t="inlineStr">
        <is>
          <t>CL002</t>
        </is>
      </c>
      <c r="D72" s="4" t="n">
        <v>45786</v>
      </c>
      <c r="E72" s="4" t="n">
        <v>45816</v>
      </c>
      <c r="F72" s="4" t="n">
        <v>45812</v>
      </c>
      <c r="G72" s="3" t="inlineStr">
        <is>
          <t>EUR</t>
        </is>
      </c>
      <c r="H72" s="5" t="n">
        <v>20000000</v>
      </c>
      <c r="I72" s="6" t="n">
        <v>40495.73</v>
      </c>
      <c r="J72" s="3" t="inlineStr">
        <is>
          <t>EUR 20m 09.05.2025 - 08.06.2025</t>
        </is>
      </c>
      <c r="K72" s="3">
        <f>E72-D72</f>
        <v/>
      </c>
      <c r="L72" s="7">
        <f>IF(K72&gt;0, I72/H72*360/K72, 0)</f>
        <v/>
      </c>
      <c r="M72" s="3">
        <f>AND(TODAY()&gt;=D72, TODAY()&lt;E72)</f>
        <v/>
      </c>
    </row>
    <row r="73">
      <c r="A73" s="3" t="inlineStr">
        <is>
          <t>FV0069</t>
        </is>
      </c>
      <c r="B73" s="3" t="inlineStr">
        <is>
          <t>Bank C</t>
        </is>
      </c>
      <c r="C73" s="3" t="inlineStr">
        <is>
          <t>CL003</t>
        </is>
      </c>
      <c r="D73" s="4" t="n">
        <v>45785</v>
      </c>
      <c r="E73" s="4" t="n">
        <v>45815</v>
      </c>
      <c r="F73" s="4" t="n">
        <v>45812</v>
      </c>
      <c r="G73" s="3" t="inlineStr">
        <is>
          <t>EUR</t>
        </is>
      </c>
      <c r="H73" s="5" t="n">
        <v>20000000</v>
      </c>
      <c r="I73" s="6" t="n">
        <v>43183.96</v>
      </c>
      <c r="J73" s="3" t="inlineStr">
        <is>
          <t>EUR 20m 08.05.2025 - 07.06.2025</t>
        </is>
      </c>
      <c r="K73" s="3">
        <f>E73-D73</f>
        <v/>
      </c>
      <c r="L73" s="7">
        <f>IF(K73&gt;0, I73/H73*360/K73, 0)</f>
        <v/>
      </c>
      <c r="M73" s="3">
        <f>AND(TODAY()&gt;=D73, TODAY()&lt;E73)</f>
        <v/>
      </c>
    </row>
    <row r="74">
      <c r="A74" s="3" t="inlineStr">
        <is>
          <t>FV0070</t>
        </is>
      </c>
      <c r="B74" s="3" t="inlineStr">
        <is>
          <t>Bank A</t>
        </is>
      </c>
      <c r="C74" s="3" t="inlineStr">
        <is>
          <t>CL001</t>
        </is>
      </c>
      <c r="D74" s="4" t="n">
        <v>45786</v>
      </c>
      <c r="E74" s="4" t="n">
        <v>45816</v>
      </c>
      <c r="F74" s="4" t="n">
        <v>45812</v>
      </c>
      <c r="G74" s="3" t="inlineStr">
        <is>
          <t>GBP</t>
        </is>
      </c>
      <c r="H74" s="5" t="n">
        <v>10000000</v>
      </c>
      <c r="I74" s="6" t="n">
        <v>34261.73</v>
      </c>
      <c r="J74" s="3" t="inlineStr">
        <is>
          <t>GBP 10m 09.05.2025 - 08.06.2025</t>
        </is>
      </c>
      <c r="K74" s="3">
        <f>E74-D74</f>
        <v/>
      </c>
      <c r="L74" s="7">
        <f>IF(K74&gt;0, I74/H74*360/K74, 0)</f>
        <v/>
      </c>
      <c r="M74" s="3">
        <f>AND(TODAY()&gt;=D74, TODAY()&lt;E74)</f>
        <v/>
      </c>
    </row>
    <row r="75">
      <c r="A75" s="3" t="inlineStr">
        <is>
          <t>FV0071</t>
        </is>
      </c>
      <c r="B75" s="3" t="inlineStr">
        <is>
          <t>Bank C</t>
        </is>
      </c>
      <c r="C75" s="3" t="inlineStr">
        <is>
          <t>CL003</t>
        </is>
      </c>
      <c r="D75" s="4" t="n">
        <v>45814</v>
      </c>
      <c r="E75" s="4" t="n">
        <v>45844</v>
      </c>
      <c r="F75" s="4" t="n">
        <v>45840</v>
      </c>
      <c r="G75" s="3" t="inlineStr">
        <is>
          <t>EUR</t>
        </is>
      </c>
      <c r="H75" s="5" t="n">
        <v>20000000</v>
      </c>
      <c r="I75" s="6" t="n">
        <v>40473.29</v>
      </c>
      <c r="J75" s="3" t="inlineStr">
        <is>
          <t>EUR 20m 06.06.2025 - 06.07.2025</t>
        </is>
      </c>
      <c r="K75" s="3">
        <f>E75-D75</f>
        <v/>
      </c>
      <c r="L75" s="7">
        <f>IF(K75&gt;0, I75/H75*360/K75, 0)</f>
        <v/>
      </c>
      <c r="M75" s="3">
        <f>AND(TODAY()&gt;=D75, TODAY()&lt;E75)</f>
        <v/>
      </c>
    </row>
    <row r="76">
      <c r="A76" s="3" t="inlineStr">
        <is>
          <t>FV0072</t>
        </is>
      </c>
      <c r="B76" s="3" t="inlineStr">
        <is>
          <t>Bank B</t>
        </is>
      </c>
      <c r="C76" s="3" t="inlineStr">
        <is>
          <t>CL002</t>
        </is>
      </c>
      <c r="D76" s="4" t="n">
        <v>45815</v>
      </c>
      <c r="E76" s="4" t="n">
        <v>45845</v>
      </c>
      <c r="F76" s="4" t="n">
        <v>45840</v>
      </c>
      <c r="G76" s="3" t="inlineStr">
        <is>
          <t>USD</t>
        </is>
      </c>
      <c r="H76" s="5" t="n">
        <v>50000000</v>
      </c>
      <c r="I76" s="6" t="n">
        <v>225985.78</v>
      </c>
      <c r="J76" s="3" t="inlineStr">
        <is>
          <t>USD 50m 07.06.2025 - 07.07.2025</t>
        </is>
      </c>
      <c r="K76" s="3">
        <f>E76-D76</f>
        <v/>
      </c>
      <c r="L76" s="7">
        <f>IF(K76&gt;0, I76/H76*360/K76, 0)</f>
        <v/>
      </c>
      <c r="M76" s="3">
        <f>AND(TODAY()&gt;=D76, TODAY()&lt;E76)</f>
        <v/>
      </c>
    </row>
    <row r="77">
      <c r="A77" s="3" t="inlineStr">
        <is>
          <t>FV0073</t>
        </is>
      </c>
      <c r="B77" s="3" t="inlineStr">
        <is>
          <t>Bank C</t>
        </is>
      </c>
      <c r="C77" s="3" t="inlineStr">
        <is>
          <t>CL003</t>
        </is>
      </c>
      <c r="D77" s="4" t="n">
        <v>45817</v>
      </c>
      <c r="E77" s="4" t="n">
        <v>45847</v>
      </c>
      <c r="F77" s="4" t="n">
        <v>45842</v>
      </c>
      <c r="G77" s="3" t="inlineStr">
        <is>
          <t>EUR</t>
        </is>
      </c>
      <c r="H77" s="5" t="n">
        <v>100000000</v>
      </c>
      <c r="I77" s="6" t="n">
        <v>233114.99</v>
      </c>
      <c r="J77" s="3" t="inlineStr">
        <is>
          <t>EUR 100m 09.06.2025 - 09.07.2025</t>
        </is>
      </c>
      <c r="K77" s="3">
        <f>E77-D77</f>
        <v/>
      </c>
      <c r="L77" s="7">
        <f>IF(K77&gt;0, I77/H77*360/K77, 0)</f>
        <v/>
      </c>
      <c r="M77" s="3">
        <f>AND(TODAY()&gt;=D77, TODAY()&lt;E77)</f>
        <v/>
      </c>
    </row>
    <row r="78">
      <c r="A78" s="3" t="inlineStr">
        <is>
          <t>FV0074</t>
        </is>
      </c>
      <c r="B78" s="3" t="inlineStr">
        <is>
          <t>Bank A</t>
        </is>
      </c>
      <c r="C78" s="3" t="inlineStr">
        <is>
          <t>CL001</t>
        </is>
      </c>
      <c r="D78" s="4" t="n">
        <v>45814</v>
      </c>
      <c r="E78" s="4" t="n">
        <v>45844</v>
      </c>
      <c r="F78" s="4" t="n">
        <v>45840</v>
      </c>
      <c r="G78" s="3" t="inlineStr">
        <is>
          <t>CHF</t>
        </is>
      </c>
      <c r="H78" s="5" t="n">
        <v>50000000</v>
      </c>
      <c r="I78" s="6" t="n">
        <v>75267.2</v>
      </c>
      <c r="J78" s="3" t="inlineStr">
        <is>
          <t>CHF 50m 06.06.2025 - 06.07.2025</t>
        </is>
      </c>
      <c r="K78" s="3">
        <f>E78-D78</f>
        <v/>
      </c>
      <c r="L78" s="7">
        <f>IF(K78&gt;0, I78/H78*360/K78, 0)</f>
        <v/>
      </c>
      <c r="M78" s="3">
        <f>AND(TODAY()&gt;=D78, TODAY()&lt;E78)</f>
        <v/>
      </c>
    </row>
    <row r="79">
      <c r="A79" s="3" t="inlineStr">
        <is>
          <t>FV0075</t>
        </is>
      </c>
      <c r="B79" s="3" t="inlineStr">
        <is>
          <t>Bank C</t>
        </is>
      </c>
      <c r="C79" s="3" t="inlineStr">
        <is>
          <t>CL003</t>
        </is>
      </c>
      <c r="D79" s="4" t="n">
        <v>45817</v>
      </c>
      <c r="E79" s="4" t="n">
        <v>45847</v>
      </c>
      <c r="F79" s="4" t="n">
        <v>45842</v>
      </c>
      <c r="G79" s="3" t="inlineStr">
        <is>
          <t>GBP</t>
        </is>
      </c>
      <c r="H79" s="5" t="n">
        <v>10000000</v>
      </c>
      <c r="I79" s="6" t="n">
        <v>36736.58</v>
      </c>
      <c r="J79" s="3" t="inlineStr">
        <is>
          <t>GBP 10m 09.06.2025 - 09.07.2025</t>
        </is>
      </c>
      <c r="K79" s="3">
        <f>E79-D79</f>
        <v/>
      </c>
      <c r="L79" s="7">
        <f>IF(K79&gt;0, I79/H79*360/K79, 0)</f>
        <v/>
      </c>
      <c r="M79" s="3">
        <f>AND(TODAY()&gt;=D79, TODAY()&lt;E79)</f>
        <v/>
      </c>
    </row>
    <row r="80">
      <c r="A80" s="3" t="inlineStr">
        <is>
          <t>FV0076</t>
        </is>
      </c>
      <c r="B80" s="3" t="inlineStr">
        <is>
          <t>Bank C</t>
        </is>
      </c>
      <c r="C80" s="3" t="inlineStr">
        <is>
          <t>CL003</t>
        </is>
      </c>
      <c r="D80" s="4" t="n">
        <v>45816</v>
      </c>
      <c r="E80" s="4" t="n">
        <v>45846</v>
      </c>
      <c r="F80" s="4" t="n">
        <v>45841</v>
      </c>
      <c r="G80" s="3" t="inlineStr">
        <is>
          <t>EUR</t>
        </is>
      </c>
      <c r="H80" s="5" t="n">
        <v>10000000</v>
      </c>
      <c r="I80" s="6" t="n">
        <v>28995.05</v>
      </c>
      <c r="J80" s="3" t="inlineStr">
        <is>
          <t>EUR 10m 08.06.2025 - 08.07.2025</t>
        </is>
      </c>
      <c r="K80" s="3">
        <f>E80-D80</f>
        <v/>
      </c>
      <c r="L80" s="7">
        <f>IF(K80&gt;0, I80/H80*360/K80, 0)</f>
        <v/>
      </c>
      <c r="M80" s="3">
        <f>AND(TODAY()&gt;=D80, TODAY()&lt;E80)</f>
        <v/>
      </c>
    </row>
    <row r="81">
      <c r="A81" s="3" t="inlineStr">
        <is>
          <t>FV0077</t>
        </is>
      </c>
      <c r="B81" s="3" t="inlineStr">
        <is>
          <t>Bank B</t>
        </is>
      </c>
      <c r="C81" s="3" t="inlineStr">
        <is>
          <t>CL002</t>
        </is>
      </c>
      <c r="D81" s="4" t="n">
        <v>45816</v>
      </c>
      <c r="E81" s="4" t="n">
        <v>45846</v>
      </c>
      <c r="F81" s="4" t="n">
        <v>45841</v>
      </c>
      <c r="G81" s="3" t="inlineStr">
        <is>
          <t>USD</t>
        </is>
      </c>
      <c r="H81" s="5" t="n">
        <v>10000000</v>
      </c>
      <c r="I81" s="6" t="n">
        <v>35851.66</v>
      </c>
      <c r="J81" s="3" t="inlineStr">
        <is>
          <t>USD 10m 08.06.2025 - 08.07.2025</t>
        </is>
      </c>
      <c r="K81" s="3">
        <f>E81-D81</f>
        <v/>
      </c>
      <c r="L81" s="7">
        <f>IF(K81&gt;0, I81/H81*360/K81, 0)</f>
        <v/>
      </c>
      <c r="M81" s="3">
        <f>AND(TODAY()&gt;=D81, TODAY()&lt;E81)</f>
        <v/>
      </c>
    </row>
    <row r="82">
      <c r="A82" s="3" t="inlineStr">
        <is>
          <t>FV0078</t>
        </is>
      </c>
      <c r="B82" s="3" t="inlineStr">
        <is>
          <t>Bank B</t>
        </is>
      </c>
      <c r="C82" s="3" t="inlineStr">
        <is>
          <t>CL002</t>
        </is>
      </c>
      <c r="D82" s="4" t="n">
        <v>45813</v>
      </c>
      <c r="E82" s="4" t="n">
        <v>45843</v>
      </c>
      <c r="F82" s="4" t="n">
        <v>45840</v>
      </c>
      <c r="G82" s="3" t="inlineStr">
        <is>
          <t>USD</t>
        </is>
      </c>
      <c r="H82" s="5" t="n">
        <v>100000000</v>
      </c>
      <c r="I82" s="6" t="n">
        <v>461128.07</v>
      </c>
      <c r="J82" s="3" t="inlineStr">
        <is>
          <t>USD 100m 05.06.2025 - 05.07.2025</t>
        </is>
      </c>
      <c r="K82" s="3">
        <f>E82-D82</f>
        <v/>
      </c>
      <c r="L82" s="7">
        <f>IF(K82&gt;0, I82/H82*360/K82, 0)</f>
        <v/>
      </c>
      <c r="M82" s="3">
        <f>AND(TODAY()&gt;=D82, TODAY()&lt;E82)</f>
        <v/>
      </c>
    </row>
    <row r="83">
      <c r="A83" s="3" t="inlineStr">
        <is>
          <t>FV0079</t>
        </is>
      </c>
      <c r="B83" s="3" t="inlineStr">
        <is>
          <t>Bank C</t>
        </is>
      </c>
      <c r="C83" s="3" t="inlineStr">
        <is>
          <t>CL003</t>
        </is>
      </c>
      <c r="D83" s="4" t="n">
        <v>45813</v>
      </c>
      <c r="E83" s="4" t="n">
        <v>45843</v>
      </c>
      <c r="F83" s="4" t="n">
        <v>45840</v>
      </c>
      <c r="G83" s="3" t="inlineStr">
        <is>
          <t>USD</t>
        </is>
      </c>
      <c r="H83" s="5" t="n">
        <v>50000000</v>
      </c>
      <c r="I83" s="6" t="n">
        <v>218153.36</v>
      </c>
      <c r="J83" s="3" t="inlineStr">
        <is>
          <t>USD 50m 05.06.2025 - 05.07.2025</t>
        </is>
      </c>
      <c r="K83" s="3">
        <f>E83-D83</f>
        <v/>
      </c>
      <c r="L83" s="7">
        <f>IF(K83&gt;0, I83/H83*360/K83, 0)</f>
        <v/>
      </c>
      <c r="M83" s="3">
        <f>AND(TODAY()&gt;=D83, TODAY()&lt;E83)</f>
        <v/>
      </c>
    </row>
    <row r="84">
      <c r="A84" s="3" t="inlineStr">
        <is>
          <t>FV0080</t>
        </is>
      </c>
      <c r="B84" s="3" t="inlineStr">
        <is>
          <t>Bank C</t>
        </is>
      </c>
      <c r="C84" s="3" t="inlineStr">
        <is>
          <t>CL003</t>
        </is>
      </c>
      <c r="D84" s="4" t="n">
        <v>45816</v>
      </c>
      <c r="E84" s="4" t="n">
        <v>45846</v>
      </c>
      <c r="F84" s="4" t="n">
        <v>45841</v>
      </c>
      <c r="G84" s="3" t="inlineStr">
        <is>
          <t>USD</t>
        </is>
      </c>
      <c r="H84" s="5" t="n">
        <v>50000000</v>
      </c>
      <c r="I84" s="6" t="n">
        <v>196834.91</v>
      </c>
      <c r="J84" s="3" t="inlineStr">
        <is>
          <t>USD 50m 08.06.2025 - 08.07.2025</t>
        </is>
      </c>
      <c r="K84" s="3">
        <f>E84-D84</f>
        <v/>
      </c>
      <c r="L84" s="7">
        <f>IF(K84&gt;0, I84/H84*360/K84, 0)</f>
        <v/>
      </c>
      <c r="M84" s="3">
        <f>AND(TODAY()&gt;=D84, TODAY()&lt;E84)</f>
        <v/>
      </c>
    </row>
    <row r="85">
      <c r="A85" s="3" t="inlineStr">
        <is>
          <t>FV0081</t>
        </is>
      </c>
      <c r="B85" s="3" t="inlineStr">
        <is>
          <t>Bank C</t>
        </is>
      </c>
      <c r="C85" s="3" t="inlineStr">
        <is>
          <t>CL003</t>
        </is>
      </c>
      <c r="D85" s="4" t="n">
        <v>45814</v>
      </c>
      <c r="E85" s="4" t="n">
        <v>45844</v>
      </c>
      <c r="F85" s="4" t="n">
        <v>45840</v>
      </c>
      <c r="G85" s="3" t="inlineStr">
        <is>
          <t>USD</t>
        </is>
      </c>
      <c r="H85" s="5" t="n">
        <v>20000000</v>
      </c>
      <c r="I85" s="6" t="n">
        <v>80776.34</v>
      </c>
      <c r="J85" s="3" t="inlineStr">
        <is>
          <t>USD 20m 06.06.2025 - 06.07.2025</t>
        </is>
      </c>
      <c r="K85" s="3">
        <f>E85-D85</f>
        <v/>
      </c>
      <c r="L85" s="7">
        <f>IF(K85&gt;0, I85/H85*360/K85, 0)</f>
        <v/>
      </c>
      <c r="M85" s="3">
        <f>AND(TODAY()&gt;=D85, TODAY()&lt;E85)</f>
        <v/>
      </c>
    </row>
    <row r="86">
      <c r="A86" s="3" t="inlineStr">
        <is>
          <t>FV0082</t>
        </is>
      </c>
      <c r="B86" s="3" t="inlineStr">
        <is>
          <t>Bank D</t>
        </is>
      </c>
      <c r="C86" s="3" t="inlineStr">
        <is>
          <t>CL004</t>
        </is>
      </c>
      <c r="D86" s="4" t="n">
        <v>45817</v>
      </c>
      <c r="E86" s="4" t="n">
        <v>45847</v>
      </c>
      <c r="F86" s="4" t="n">
        <v>45842</v>
      </c>
      <c r="G86" s="3" t="inlineStr">
        <is>
          <t>GBP</t>
        </is>
      </c>
      <c r="H86" s="5" t="n">
        <v>20000000</v>
      </c>
      <c r="I86" s="6" t="n">
        <v>76612.46000000001</v>
      </c>
      <c r="J86" s="3" t="inlineStr">
        <is>
          <t>GBP 20m 09.06.2025 - 09.07.2025</t>
        </is>
      </c>
      <c r="K86" s="3">
        <f>E86-D86</f>
        <v/>
      </c>
      <c r="L86" s="7">
        <f>IF(K86&gt;0, I86/H86*360/K86, 0)</f>
        <v/>
      </c>
      <c r="M86" s="3">
        <f>AND(TODAY()&gt;=D86, TODAY()&lt;E86)</f>
        <v/>
      </c>
    </row>
    <row r="87">
      <c r="A87" s="3" t="inlineStr">
        <is>
          <t>FV0083</t>
        </is>
      </c>
      <c r="B87" s="3" t="inlineStr">
        <is>
          <t>Bank D</t>
        </is>
      </c>
      <c r="C87" s="3" t="inlineStr">
        <is>
          <t>CL004</t>
        </is>
      </c>
      <c r="D87" s="4" t="n">
        <v>45815</v>
      </c>
      <c r="E87" s="4" t="n">
        <v>45845</v>
      </c>
      <c r="F87" s="4" t="n">
        <v>45840</v>
      </c>
      <c r="G87" s="3" t="inlineStr">
        <is>
          <t>GBP</t>
        </is>
      </c>
      <c r="H87" s="5" t="n">
        <v>10000000</v>
      </c>
      <c r="I87" s="6" t="n">
        <v>35013.99</v>
      </c>
      <c r="J87" s="3" t="inlineStr">
        <is>
          <t>GBP 10m 07.06.2025 - 07.07.2025</t>
        </is>
      </c>
      <c r="K87" s="3">
        <f>E87-D87</f>
        <v/>
      </c>
      <c r="L87" s="7">
        <f>IF(K87&gt;0, I87/H87*360/K87, 0)</f>
        <v/>
      </c>
      <c r="M87" s="3">
        <f>AND(TODAY()&gt;=D87, TODAY()&lt;E87)</f>
        <v/>
      </c>
    </row>
    <row r="88">
      <c r="A88" s="3" t="inlineStr">
        <is>
          <t>FV0084</t>
        </is>
      </c>
      <c r="B88" s="3" t="inlineStr">
        <is>
          <t>Bank D</t>
        </is>
      </c>
      <c r="C88" s="3" t="inlineStr">
        <is>
          <t>CL004</t>
        </is>
      </c>
      <c r="D88" s="4" t="n">
        <v>45816</v>
      </c>
      <c r="E88" s="4" t="n">
        <v>45846</v>
      </c>
      <c r="F88" s="4" t="n">
        <v>45841</v>
      </c>
      <c r="G88" s="3" t="inlineStr">
        <is>
          <t>GBP</t>
        </is>
      </c>
      <c r="H88" s="5" t="n">
        <v>50000000</v>
      </c>
      <c r="I88" s="6" t="n">
        <v>184104.18</v>
      </c>
      <c r="J88" s="3" t="inlineStr">
        <is>
          <t>GBP 50m 08.06.2025 - 08.07.2025</t>
        </is>
      </c>
      <c r="K88" s="3">
        <f>E88-D88</f>
        <v/>
      </c>
      <c r="L88" s="7">
        <f>IF(K88&gt;0, I88/H88*360/K88, 0)</f>
        <v/>
      </c>
      <c r="M88" s="3">
        <f>AND(TODAY()&gt;=D88, TODAY()&lt;E88)</f>
        <v/>
      </c>
    </row>
    <row r="89">
      <c r="A89" s="3" t="inlineStr">
        <is>
          <t>FV0085</t>
        </is>
      </c>
      <c r="B89" s="3" t="inlineStr">
        <is>
          <t>Bank B</t>
        </is>
      </c>
      <c r="C89" s="3" t="inlineStr">
        <is>
          <t>CL002</t>
        </is>
      </c>
      <c r="D89" s="4" t="n">
        <v>45814</v>
      </c>
      <c r="E89" s="4" t="n">
        <v>45844</v>
      </c>
      <c r="F89" s="4" t="n">
        <v>45840</v>
      </c>
      <c r="G89" s="3" t="inlineStr">
        <is>
          <t>GBP</t>
        </is>
      </c>
      <c r="H89" s="5" t="n">
        <v>100000000</v>
      </c>
      <c r="I89" s="6" t="n">
        <v>393532.59</v>
      </c>
      <c r="J89" s="3" t="inlineStr">
        <is>
          <t>GBP 100m 06.06.2025 - 06.07.2025</t>
        </is>
      </c>
      <c r="K89" s="3">
        <f>E89-D89</f>
        <v/>
      </c>
      <c r="L89" s="7">
        <f>IF(K89&gt;0, I89/H89*360/K89, 0)</f>
        <v/>
      </c>
      <c r="M89" s="3">
        <f>AND(TODAY()&gt;=D89, TODAY()&lt;E89)</f>
        <v/>
      </c>
    </row>
    <row r="90">
      <c r="A90" s="3" t="inlineStr">
        <is>
          <t>FV0086</t>
        </is>
      </c>
      <c r="B90" s="3" t="inlineStr">
        <is>
          <t>Bank C</t>
        </is>
      </c>
      <c r="C90" s="3" t="inlineStr">
        <is>
          <t>CL003</t>
        </is>
      </c>
      <c r="D90" s="4" t="n">
        <v>45845</v>
      </c>
      <c r="E90" s="4" t="n">
        <v>45875</v>
      </c>
      <c r="F90" s="4" t="n">
        <v>45870</v>
      </c>
      <c r="G90" s="3" t="inlineStr">
        <is>
          <t>GBP</t>
        </is>
      </c>
      <c r="H90" s="5" t="n">
        <v>20000000</v>
      </c>
      <c r="I90" s="6" t="n">
        <v>68574.95</v>
      </c>
      <c r="J90" s="3" t="inlineStr">
        <is>
          <t>GBP 20m 07.07.2025 - 06.08.2025</t>
        </is>
      </c>
      <c r="K90" s="3">
        <f>E90-D90</f>
        <v/>
      </c>
      <c r="L90" s="7">
        <f>IF(K90&gt;0, I90/H90*360/K90, 0)</f>
        <v/>
      </c>
      <c r="M90" s="3">
        <f>AND(TODAY()&gt;=D90, TODAY()&lt;E90)</f>
        <v/>
      </c>
    </row>
    <row r="91">
      <c r="A91" s="3" t="inlineStr">
        <is>
          <t>FV0087</t>
        </is>
      </c>
      <c r="B91" s="3" t="inlineStr">
        <is>
          <t>Bank B</t>
        </is>
      </c>
      <c r="C91" s="3" t="inlineStr">
        <is>
          <t>CL002</t>
        </is>
      </c>
      <c r="D91" s="4" t="n">
        <v>45843</v>
      </c>
      <c r="E91" s="4" t="n">
        <v>45873</v>
      </c>
      <c r="F91" s="4" t="n">
        <v>45868</v>
      </c>
      <c r="G91" s="3" t="inlineStr">
        <is>
          <t>EUR</t>
        </is>
      </c>
      <c r="H91" s="5" t="n">
        <v>10000000</v>
      </c>
      <c r="I91" s="6" t="n">
        <v>22448.43</v>
      </c>
      <c r="J91" s="3" t="inlineStr">
        <is>
          <t>EUR 10m 05.07.2025 - 04.08.2025</t>
        </is>
      </c>
      <c r="K91" s="3">
        <f>E91-D91</f>
        <v/>
      </c>
      <c r="L91" s="7">
        <f>IF(K91&gt;0, I91/H91*360/K91, 0)</f>
        <v/>
      </c>
      <c r="M91" s="3">
        <f>AND(TODAY()&gt;=D91, TODAY()&lt;E91)</f>
        <v/>
      </c>
    </row>
    <row r="92">
      <c r="A92" s="3" t="inlineStr">
        <is>
          <t>FV0088</t>
        </is>
      </c>
      <c r="B92" s="3" t="inlineStr">
        <is>
          <t>Bank D</t>
        </is>
      </c>
      <c r="C92" s="3" t="inlineStr">
        <is>
          <t>CL004</t>
        </is>
      </c>
      <c r="D92" s="4" t="n">
        <v>45846</v>
      </c>
      <c r="E92" s="4" t="n">
        <v>45876</v>
      </c>
      <c r="F92" s="4" t="n">
        <v>45873</v>
      </c>
      <c r="G92" s="3" t="inlineStr">
        <is>
          <t>GBP</t>
        </is>
      </c>
      <c r="H92" s="5" t="n">
        <v>10000000</v>
      </c>
      <c r="I92" s="6" t="n">
        <v>36501.81</v>
      </c>
      <c r="J92" s="3" t="inlineStr">
        <is>
          <t>GBP 10m 08.07.2025 - 07.08.2025</t>
        </is>
      </c>
      <c r="K92" s="3">
        <f>E92-D92</f>
        <v/>
      </c>
      <c r="L92" s="7">
        <f>IF(K92&gt;0, I92/H92*360/K92, 0)</f>
        <v/>
      </c>
      <c r="M92" s="3">
        <f>AND(TODAY()&gt;=D92, TODAY()&lt;E92)</f>
        <v/>
      </c>
    </row>
    <row r="93">
      <c r="A93" s="3" t="inlineStr">
        <is>
          <t>FV0089</t>
        </is>
      </c>
      <c r="B93" s="3" t="inlineStr">
        <is>
          <t>Bank B</t>
        </is>
      </c>
      <c r="C93" s="3" t="inlineStr">
        <is>
          <t>CL002</t>
        </is>
      </c>
      <c r="D93" s="4" t="n">
        <v>45846</v>
      </c>
      <c r="E93" s="4" t="n">
        <v>45876</v>
      </c>
      <c r="F93" s="4" t="n">
        <v>45873</v>
      </c>
      <c r="G93" s="3" t="inlineStr">
        <is>
          <t>GBP</t>
        </is>
      </c>
      <c r="H93" s="5" t="n">
        <v>100000000</v>
      </c>
      <c r="I93" s="6" t="n">
        <v>363292.83</v>
      </c>
      <c r="J93" s="3" t="inlineStr">
        <is>
          <t>GBP 100m 08.07.2025 - 07.08.2025</t>
        </is>
      </c>
      <c r="K93" s="3">
        <f>E93-D93</f>
        <v/>
      </c>
      <c r="L93" s="7">
        <f>IF(K93&gt;0, I93/H93*360/K93, 0)</f>
        <v/>
      </c>
      <c r="M93" s="3">
        <f>AND(TODAY()&gt;=D93, TODAY()&lt;E93)</f>
        <v/>
      </c>
    </row>
    <row r="94">
      <c r="A94" s="3" t="inlineStr">
        <is>
          <t>FV0090</t>
        </is>
      </c>
      <c r="B94" s="3" t="inlineStr">
        <is>
          <t>Bank B</t>
        </is>
      </c>
      <c r="C94" s="3" t="inlineStr">
        <is>
          <t>CL002</t>
        </is>
      </c>
      <c r="D94" s="4" t="n">
        <v>45843</v>
      </c>
      <c r="E94" s="4" t="n">
        <v>45873</v>
      </c>
      <c r="F94" s="4" t="n">
        <v>45868</v>
      </c>
      <c r="G94" s="3" t="inlineStr">
        <is>
          <t>GBP</t>
        </is>
      </c>
      <c r="H94" s="5" t="n">
        <v>10000000</v>
      </c>
      <c r="I94" s="6" t="n">
        <v>40748.24</v>
      </c>
      <c r="J94" s="3" t="inlineStr">
        <is>
          <t>GBP 10m 05.07.2025 - 04.08.2025</t>
        </is>
      </c>
      <c r="K94" s="3">
        <f>E94-D94</f>
        <v/>
      </c>
      <c r="L94" s="7">
        <f>IF(K94&gt;0, I94/H94*360/K94, 0)</f>
        <v/>
      </c>
      <c r="M94" s="3">
        <f>AND(TODAY()&gt;=D94, TODAY()&lt;E94)</f>
        <v/>
      </c>
    </row>
    <row r="95">
      <c r="A95" s="3" t="inlineStr">
        <is>
          <t>FV0091</t>
        </is>
      </c>
      <c r="B95" s="3" t="inlineStr">
        <is>
          <t>Bank B</t>
        </is>
      </c>
      <c r="C95" s="3" t="inlineStr">
        <is>
          <t>CL002</t>
        </is>
      </c>
      <c r="D95" s="4" t="n">
        <v>45843</v>
      </c>
      <c r="E95" s="4" t="n">
        <v>45873</v>
      </c>
      <c r="F95" s="4" t="n">
        <v>45868</v>
      </c>
      <c r="G95" s="3" t="inlineStr">
        <is>
          <t>EUR</t>
        </is>
      </c>
      <c r="H95" s="5" t="n">
        <v>100000000</v>
      </c>
      <c r="I95" s="6" t="n">
        <v>255740.58</v>
      </c>
      <c r="J95" s="3" t="inlineStr">
        <is>
          <t>EUR 100m 05.07.2025 - 04.08.2025</t>
        </is>
      </c>
      <c r="K95" s="3">
        <f>E95-D95</f>
        <v/>
      </c>
      <c r="L95" s="7">
        <f>IF(K95&gt;0, I95/H95*360/K95, 0)</f>
        <v/>
      </c>
      <c r="M95" s="3">
        <f>AND(TODAY()&gt;=D95, TODAY()&lt;E95)</f>
        <v/>
      </c>
    </row>
    <row r="96">
      <c r="A96" s="3" t="inlineStr">
        <is>
          <t>FV0092</t>
        </is>
      </c>
      <c r="B96" s="3" t="inlineStr">
        <is>
          <t>Bank A</t>
        </is>
      </c>
      <c r="C96" s="3" t="inlineStr">
        <is>
          <t>CL001</t>
        </is>
      </c>
      <c r="D96" s="4" t="n">
        <v>45846</v>
      </c>
      <c r="E96" s="4" t="n">
        <v>45876</v>
      </c>
      <c r="F96" s="4" t="n">
        <v>45873</v>
      </c>
      <c r="G96" s="3" t="inlineStr">
        <is>
          <t>GBP</t>
        </is>
      </c>
      <c r="H96" s="5" t="n">
        <v>20000000</v>
      </c>
      <c r="I96" s="6" t="n">
        <v>78910.14999999999</v>
      </c>
      <c r="J96" s="3" t="inlineStr">
        <is>
          <t>GBP 20m 08.07.2025 - 07.08.2025</t>
        </is>
      </c>
      <c r="K96" s="3">
        <f>E96-D96</f>
        <v/>
      </c>
      <c r="L96" s="7">
        <f>IF(K96&gt;0, I96/H96*360/K96, 0)</f>
        <v/>
      </c>
      <c r="M96" s="3">
        <f>AND(TODAY()&gt;=D96, TODAY()&lt;E96)</f>
        <v/>
      </c>
    </row>
    <row r="97">
      <c r="A97" s="3" t="inlineStr">
        <is>
          <t>FV0093</t>
        </is>
      </c>
      <c r="B97" s="3" t="inlineStr">
        <is>
          <t>Bank C</t>
        </is>
      </c>
      <c r="C97" s="3" t="inlineStr">
        <is>
          <t>CL003</t>
        </is>
      </c>
      <c r="D97" s="4" t="n">
        <v>45847</v>
      </c>
      <c r="E97" s="4" t="n">
        <v>45877</v>
      </c>
      <c r="F97" s="4" t="n">
        <v>45874</v>
      </c>
      <c r="G97" s="3" t="inlineStr">
        <is>
          <t>EUR</t>
        </is>
      </c>
      <c r="H97" s="5" t="n">
        <v>100000000</v>
      </c>
      <c r="I97" s="6" t="n">
        <v>244591.36</v>
      </c>
      <c r="J97" s="3" t="inlineStr">
        <is>
          <t>EUR 100m 09.07.2025 - 08.08.2025</t>
        </is>
      </c>
      <c r="K97" s="3">
        <f>E97-D97</f>
        <v/>
      </c>
      <c r="L97" s="7">
        <f>IF(K97&gt;0, I97/H97*360/K97, 0)</f>
        <v/>
      </c>
      <c r="M97" s="3">
        <f>AND(TODAY()&gt;=D97, TODAY()&lt;E97)</f>
        <v/>
      </c>
    </row>
    <row r="98">
      <c r="A98" s="3" t="inlineStr">
        <is>
          <t>FV0094</t>
        </is>
      </c>
      <c r="B98" s="3" t="inlineStr">
        <is>
          <t>Bank B</t>
        </is>
      </c>
      <c r="C98" s="3" t="inlineStr">
        <is>
          <t>CL002</t>
        </is>
      </c>
      <c r="D98" s="4" t="n">
        <v>45846</v>
      </c>
      <c r="E98" s="4" t="n">
        <v>45876</v>
      </c>
      <c r="F98" s="4" t="n">
        <v>45873</v>
      </c>
      <c r="G98" s="3" t="inlineStr">
        <is>
          <t>GBP</t>
        </is>
      </c>
      <c r="H98" s="5" t="n">
        <v>100000000</v>
      </c>
      <c r="I98" s="6" t="n">
        <v>346905.68</v>
      </c>
      <c r="J98" s="3" t="inlineStr">
        <is>
          <t>GBP 100m 08.07.2025 - 07.08.2025</t>
        </is>
      </c>
      <c r="K98" s="3">
        <f>E98-D98</f>
        <v/>
      </c>
      <c r="L98" s="7">
        <f>IF(K98&gt;0, I98/H98*360/K98, 0)</f>
        <v/>
      </c>
      <c r="M98" s="3">
        <f>AND(TODAY()&gt;=D98, TODAY()&lt;E98)</f>
        <v/>
      </c>
    </row>
    <row r="99">
      <c r="A99" s="3" t="inlineStr">
        <is>
          <t>FV0095</t>
        </is>
      </c>
      <c r="B99" s="3" t="inlineStr">
        <is>
          <t>Bank B</t>
        </is>
      </c>
      <c r="C99" s="3" t="inlineStr">
        <is>
          <t>CL002</t>
        </is>
      </c>
      <c r="D99" s="4" t="n">
        <v>45847</v>
      </c>
      <c r="E99" s="4" t="n">
        <v>45877</v>
      </c>
      <c r="F99" s="4" t="n">
        <v>45874</v>
      </c>
      <c r="G99" s="3" t="inlineStr">
        <is>
          <t>GBP</t>
        </is>
      </c>
      <c r="H99" s="5" t="n">
        <v>50000000</v>
      </c>
      <c r="I99" s="6" t="n">
        <v>186601.49</v>
      </c>
      <c r="J99" s="3" t="inlineStr">
        <is>
          <t>GBP 50m 09.07.2025 - 08.08.2025</t>
        </is>
      </c>
      <c r="K99" s="3">
        <f>E99-D99</f>
        <v/>
      </c>
      <c r="L99" s="7">
        <f>IF(K99&gt;0, I99/H99*360/K99, 0)</f>
        <v/>
      </c>
      <c r="M99" s="3">
        <f>AND(TODAY()&gt;=D99, TODAY()&lt;E99)</f>
        <v/>
      </c>
    </row>
    <row r="100">
      <c r="A100" s="3" t="inlineStr">
        <is>
          <t>FV0096</t>
        </is>
      </c>
      <c r="B100" s="3" t="inlineStr">
        <is>
          <t>Bank B</t>
        </is>
      </c>
      <c r="C100" s="3" t="inlineStr">
        <is>
          <t>CL002</t>
        </is>
      </c>
      <c r="D100" s="4" t="n">
        <v>45843</v>
      </c>
      <c r="E100" s="4" t="n">
        <v>45873</v>
      </c>
      <c r="F100" s="4" t="n">
        <v>45868</v>
      </c>
      <c r="G100" s="3" t="inlineStr">
        <is>
          <t>USD</t>
        </is>
      </c>
      <c r="H100" s="5" t="n">
        <v>100000000</v>
      </c>
      <c r="I100" s="6" t="n">
        <v>435634.03</v>
      </c>
      <c r="J100" s="3" t="inlineStr">
        <is>
          <t>USD 100m 05.07.2025 - 04.08.2025</t>
        </is>
      </c>
      <c r="K100" s="3">
        <f>E100-D100</f>
        <v/>
      </c>
      <c r="L100" s="7">
        <f>IF(K100&gt;0, I100/H100*360/K100, 0)</f>
        <v/>
      </c>
      <c r="M100" s="3">
        <f>AND(TODAY()&gt;=D100, TODAY()&lt;E100)</f>
        <v/>
      </c>
    </row>
    <row r="101">
      <c r="A101" s="3" t="inlineStr">
        <is>
          <t>FV0097</t>
        </is>
      </c>
      <c r="B101" s="3" t="inlineStr">
        <is>
          <t>Bank B</t>
        </is>
      </c>
      <c r="C101" s="3" t="inlineStr">
        <is>
          <t>CL002</t>
        </is>
      </c>
      <c r="D101" s="4" t="n">
        <v>45845</v>
      </c>
      <c r="E101" s="4" t="n">
        <v>45875</v>
      </c>
      <c r="F101" s="4" t="n">
        <v>45870</v>
      </c>
      <c r="G101" s="3" t="inlineStr">
        <is>
          <t>USD</t>
        </is>
      </c>
      <c r="H101" s="5" t="n">
        <v>50000000</v>
      </c>
      <c r="I101" s="6" t="n">
        <v>227538.95</v>
      </c>
      <c r="J101" s="3" t="inlineStr">
        <is>
          <t>USD 50m 07.07.2025 - 06.08.2025</t>
        </is>
      </c>
      <c r="K101" s="3">
        <f>E101-D101</f>
        <v/>
      </c>
      <c r="L101" s="7">
        <f>IF(K101&gt;0, I101/H101*360/K101, 0)</f>
        <v/>
      </c>
      <c r="M101" s="3">
        <f>AND(TODAY()&gt;=D101, TODAY()&lt;E101)</f>
        <v/>
      </c>
    </row>
    <row r="102">
      <c r="A102" s="3" t="inlineStr">
        <is>
          <t>FV0098</t>
        </is>
      </c>
      <c r="B102" s="3" t="inlineStr">
        <is>
          <t>Bank A</t>
        </is>
      </c>
      <c r="C102" s="3" t="inlineStr">
        <is>
          <t>CL001</t>
        </is>
      </c>
      <c r="D102" s="4" t="n">
        <v>45844</v>
      </c>
      <c r="E102" s="4" t="n">
        <v>45874</v>
      </c>
      <c r="F102" s="4" t="n">
        <v>45869</v>
      </c>
      <c r="G102" s="3" t="inlineStr">
        <is>
          <t>CHF</t>
        </is>
      </c>
      <c r="H102" s="5" t="n">
        <v>20000000</v>
      </c>
      <c r="I102" s="6" t="n">
        <v>27802.08</v>
      </c>
      <c r="J102" s="3" t="inlineStr">
        <is>
          <t>CHF 20m 06.07.2025 - 05.08.2025</t>
        </is>
      </c>
      <c r="K102" s="3">
        <f>E102-D102</f>
        <v/>
      </c>
      <c r="L102" s="7">
        <f>IF(K102&gt;0, I102/H102*360/K102, 0)</f>
        <v/>
      </c>
      <c r="M102" s="3">
        <f>AND(TODAY()&gt;=D102, TODAY()&lt;E102)</f>
        <v/>
      </c>
    </row>
    <row r="103">
      <c r="A103" s="3" t="inlineStr">
        <is>
          <t>FV0099</t>
        </is>
      </c>
      <c r="B103" s="3" t="inlineStr">
        <is>
          <t>Bank B</t>
        </is>
      </c>
      <c r="C103" s="3" t="inlineStr">
        <is>
          <t>CL002</t>
        </is>
      </c>
      <c r="D103" s="4" t="n">
        <v>45843</v>
      </c>
      <c r="E103" s="4" t="n">
        <v>45873</v>
      </c>
      <c r="F103" s="4" t="n">
        <v>45868</v>
      </c>
      <c r="G103" s="3" t="inlineStr">
        <is>
          <t>GBP</t>
        </is>
      </c>
      <c r="H103" s="5" t="n">
        <v>20000000</v>
      </c>
      <c r="I103" s="6" t="n">
        <v>73013.58</v>
      </c>
      <c r="J103" s="3" t="inlineStr">
        <is>
          <t>GBP 20m 05.07.2025 - 04.08.2025</t>
        </is>
      </c>
      <c r="K103" s="3">
        <f>E103-D103</f>
        <v/>
      </c>
      <c r="L103" s="7">
        <f>IF(K103&gt;0, I103/H103*360/K103, 0)</f>
        <v/>
      </c>
      <c r="M103" s="3">
        <f>AND(TODAY()&gt;=D103, TODAY()&lt;E103)</f>
        <v/>
      </c>
    </row>
    <row r="104">
      <c r="A104" s="3" t="inlineStr">
        <is>
          <t>FV0100</t>
        </is>
      </c>
      <c r="B104" s="3" t="inlineStr">
        <is>
          <t>Bank D</t>
        </is>
      </c>
      <c r="C104" s="3" t="inlineStr">
        <is>
          <t>CL004</t>
        </is>
      </c>
      <c r="D104" s="4" t="n">
        <v>45874</v>
      </c>
      <c r="E104" s="4" t="n">
        <v>45904</v>
      </c>
      <c r="F104" s="4" t="n">
        <v>45901</v>
      </c>
      <c r="G104" s="3" t="inlineStr">
        <is>
          <t>EUR</t>
        </is>
      </c>
      <c r="H104" s="5" t="n">
        <v>10000000</v>
      </c>
      <c r="I104" s="6" t="n">
        <v>28328.91</v>
      </c>
      <c r="J104" s="3" t="inlineStr">
        <is>
          <t>EUR 10m 05.08.2025 - 04.09.2025</t>
        </is>
      </c>
      <c r="K104" s="3">
        <f>E104-D104</f>
        <v/>
      </c>
      <c r="L104" s="7">
        <f>IF(K104&gt;0, I104/H104*360/K104, 0)</f>
        <v/>
      </c>
      <c r="M104" s="3">
        <f>AND(TODAY()&gt;=D104, TODAY()&lt;E104)</f>
        <v/>
      </c>
    </row>
    <row r="105">
      <c r="A105" s="3" t="inlineStr">
        <is>
          <t>FV0101</t>
        </is>
      </c>
      <c r="B105" s="3" t="inlineStr">
        <is>
          <t>Bank D</t>
        </is>
      </c>
      <c r="C105" s="3" t="inlineStr">
        <is>
          <t>CL004</t>
        </is>
      </c>
      <c r="D105" s="4" t="n">
        <v>45877</v>
      </c>
      <c r="E105" s="4" t="n">
        <v>45907</v>
      </c>
      <c r="F105" s="4" t="n">
        <v>45903</v>
      </c>
      <c r="G105" s="3" t="inlineStr">
        <is>
          <t>GBP</t>
        </is>
      </c>
      <c r="H105" s="5" t="n">
        <v>10000000</v>
      </c>
      <c r="I105" s="6" t="n">
        <v>36104.45</v>
      </c>
      <c r="J105" s="3" t="inlineStr">
        <is>
          <t>GBP 10m 08.08.2025 - 07.09.2025</t>
        </is>
      </c>
      <c r="K105" s="3">
        <f>E105-D105</f>
        <v/>
      </c>
      <c r="L105" s="7">
        <f>IF(K105&gt;0, I105/H105*360/K105, 0)</f>
        <v/>
      </c>
      <c r="M105" s="3">
        <f>AND(TODAY()&gt;=D105, TODAY()&lt;E105)</f>
        <v/>
      </c>
    </row>
    <row r="106">
      <c r="A106" s="3" t="inlineStr">
        <is>
          <t>FV0102</t>
        </is>
      </c>
      <c r="B106" s="3" t="inlineStr">
        <is>
          <t>Bank A</t>
        </is>
      </c>
      <c r="C106" s="3" t="inlineStr">
        <is>
          <t>CL001</t>
        </is>
      </c>
      <c r="D106" s="4" t="n">
        <v>45876</v>
      </c>
      <c r="E106" s="4" t="n">
        <v>45906</v>
      </c>
      <c r="F106" s="4" t="n">
        <v>45903</v>
      </c>
      <c r="G106" s="3" t="inlineStr">
        <is>
          <t>GBP</t>
        </is>
      </c>
      <c r="H106" s="5" t="n">
        <v>50000000</v>
      </c>
      <c r="I106" s="6" t="n">
        <v>208117.8</v>
      </c>
      <c r="J106" s="3" t="inlineStr">
        <is>
          <t>GBP 50m 07.08.2025 - 06.09.2025</t>
        </is>
      </c>
      <c r="K106" s="3">
        <f>E106-D106</f>
        <v/>
      </c>
      <c r="L106" s="7">
        <f>IF(K106&gt;0, I106/H106*360/K106, 0)</f>
        <v/>
      </c>
      <c r="M106" s="3">
        <f>AND(TODAY()&gt;=D106, TODAY()&lt;E106)</f>
        <v/>
      </c>
    </row>
    <row r="107">
      <c r="A107" s="3" t="inlineStr">
        <is>
          <t>FV0103</t>
        </is>
      </c>
      <c r="B107" s="3" t="inlineStr">
        <is>
          <t>Bank D</t>
        </is>
      </c>
      <c r="C107" s="3" t="inlineStr">
        <is>
          <t>CL004</t>
        </is>
      </c>
      <c r="D107" s="4" t="n">
        <v>45876</v>
      </c>
      <c r="E107" s="4" t="n">
        <v>45906</v>
      </c>
      <c r="F107" s="4" t="n">
        <v>45903</v>
      </c>
      <c r="G107" s="3" t="inlineStr">
        <is>
          <t>GBP</t>
        </is>
      </c>
      <c r="H107" s="5" t="n">
        <v>20000000</v>
      </c>
      <c r="I107" s="6" t="n">
        <v>68453.17</v>
      </c>
      <c r="J107" s="3" t="inlineStr">
        <is>
          <t>GBP 20m 07.08.2025 - 06.09.2025</t>
        </is>
      </c>
      <c r="K107" s="3">
        <f>E107-D107</f>
        <v/>
      </c>
      <c r="L107" s="7">
        <f>IF(K107&gt;0, I107/H107*360/K107, 0)</f>
        <v/>
      </c>
      <c r="M107" s="3">
        <f>AND(TODAY()&gt;=D107, TODAY()&lt;E107)</f>
        <v/>
      </c>
    </row>
    <row r="108">
      <c r="A108" s="3" t="inlineStr">
        <is>
          <t>FV0104</t>
        </is>
      </c>
      <c r="B108" s="3" t="inlineStr">
        <is>
          <t>Bank D</t>
        </is>
      </c>
      <c r="C108" s="3" t="inlineStr">
        <is>
          <t>CL004</t>
        </is>
      </c>
      <c r="D108" s="4" t="n">
        <v>45876</v>
      </c>
      <c r="E108" s="4" t="n">
        <v>45906</v>
      </c>
      <c r="F108" s="4" t="n">
        <v>45903</v>
      </c>
      <c r="G108" s="3" t="inlineStr">
        <is>
          <t>EUR</t>
        </is>
      </c>
      <c r="H108" s="5" t="n">
        <v>10000000</v>
      </c>
      <c r="I108" s="6" t="n">
        <v>23361.3</v>
      </c>
      <c r="J108" s="3" t="inlineStr">
        <is>
          <t>EUR 10m 07.08.2025 - 06.09.2025</t>
        </is>
      </c>
      <c r="K108" s="3">
        <f>E108-D108</f>
        <v/>
      </c>
      <c r="L108" s="7">
        <f>IF(K108&gt;0, I108/H108*360/K108, 0)</f>
        <v/>
      </c>
      <c r="M108" s="3">
        <f>AND(TODAY()&gt;=D108, TODAY()&lt;E108)</f>
        <v/>
      </c>
    </row>
    <row r="109">
      <c r="A109" s="3" t="inlineStr">
        <is>
          <t>FV0105</t>
        </is>
      </c>
      <c r="B109" s="3" t="inlineStr">
        <is>
          <t>Bank D</t>
        </is>
      </c>
      <c r="C109" s="3" t="inlineStr">
        <is>
          <t>CL004</t>
        </is>
      </c>
      <c r="D109" s="4" t="n">
        <v>45876</v>
      </c>
      <c r="E109" s="4" t="n">
        <v>45906</v>
      </c>
      <c r="F109" s="4" t="n">
        <v>45903</v>
      </c>
      <c r="G109" s="3" t="inlineStr">
        <is>
          <t>GBP</t>
        </is>
      </c>
      <c r="H109" s="5" t="n">
        <v>20000000</v>
      </c>
      <c r="I109" s="6" t="n">
        <v>84789.3</v>
      </c>
      <c r="J109" s="3" t="inlineStr">
        <is>
          <t>GBP 20m 07.08.2025 - 06.09.2025</t>
        </is>
      </c>
      <c r="K109" s="3">
        <f>E109-D109</f>
        <v/>
      </c>
      <c r="L109" s="7">
        <f>IF(K109&gt;0, I109/H109*360/K109, 0)</f>
        <v/>
      </c>
      <c r="M109" s="3">
        <f>AND(TODAY()&gt;=D109, TODAY()&lt;E109)</f>
        <v/>
      </c>
    </row>
    <row r="110">
      <c r="A110" s="3" t="inlineStr">
        <is>
          <t>FV0106</t>
        </is>
      </c>
      <c r="B110" s="3" t="inlineStr">
        <is>
          <t>Bank A</t>
        </is>
      </c>
      <c r="C110" s="3" t="inlineStr">
        <is>
          <t>CL001</t>
        </is>
      </c>
      <c r="D110" s="4" t="n">
        <v>45873</v>
      </c>
      <c r="E110" s="4" t="n">
        <v>45903</v>
      </c>
      <c r="F110" s="4" t="n">
        <v>45898</v>
      </c>
      <c r="G110" s="3" t="inlineStr">
        <is>
          <t>GBP</t>
        </is>
      </c>
      <c r="H110" s="5" t="n">
        <v>10000000</v>
      </c>
      <c r="I110" s="6" t="n">
        <v>39165.41</v>
      </c>
      <c r="J110" s="3" t="inlineStr">
        <is>
          <t>GBP 10m 04.08.2025 - 03.09.2025</t>
        </is>
      </c>
      <c r="K110" s="3">
        <f>E110-D110</f>
        <v/>
      </c>
      <c r="L110" s="7">
        <f>IF(K110&gt;0, I110/H110*360/K110, 0)</f>
        <v/>
      </c>
      <c r="M110" s="3">
        <f>AND(TODAY()&gt;=D110, TODAY()&lt;E110)</f>
        <v/>
      </c>
    </row>
    <row r="111">
      <c r="A111" s="3" t="inlineStr">
        <is>
          <t>FV0107</t>
        </is>
      </c>
      <c r="B111" s="3" t="inlineStr">
        <is>
          <t>Bank B</t>
        </is>
      </c>
      <c r="C111" s="3" t="inlineStr">
        <is>
          <t>CL002</t>
        </is>
      </c>
      <c r="D111" s="4" t="n">
        <v>45873</v>
      </c>
      <c r="E111" s="4" t="n">
        <v>45903</v>
      </c>
      <c r="F111" s="4" t="n">
        <v>45898</v>
      </c>
      <c r="G111" s="3" t="inlineStr">
        <is>
          <t>USD</t>
        </is>
      </c>
      <c r="H111" s="5" t="n">
        <v>20000000</v>
      </c>
      <c r="I111" s="6" t="n">
        <v>77303.39</v>
      </c>
      <c r="J111" s="3" t="inlineStr">
        <is>
          <t>USD 20m 04.08.2025 - 03.09.2025</t>
        </is>
      </c>
      <c r="K111" s="3">
        <f>E111-D111</f>
        <v/>
      </c>
      <c r="L111" s="7">
        <f>IF(K111&gt;0, I111/H111*360/K111, 0)</f>
        <v/>
      </c>
      <c r="M111" s="3">
        <f>AND(TODAY()&gt;=D111, TODAY()&lt;E111)</f>
        <v/>
      </c>
    </row>
    <row r="112">
      <c r="A112" s="3" t="inlineStr">
        <is>
          <t>FV0108</t>
        </is>
      </c>
      <c r="B112" s="3" t="inlineStr">
        <is>
          <t>Bank C</t>
        </is>
      </c>
      <c r="C112" s="3" t="inlineStr">
        <is>
          <t>CL003</t>
        </is>
      </c>
      <c r="D112" s="4" t="n">
        <v>45875</v>
      </c>
      <c r="E112" s="4" t="n">
        <v>45905</v>
      </c>
      <c r="F112" s="4" t="n">
        <v>45902</v>
      </c>
      <c r="G112" s="3" t="inlineStr">
        <is>
          <t>GBP</t>
        </is>
      </c>
      <c r="H112" s="5" t="n">
        <v>100000000</v>
      </c>
      <c r="I112" s="6" t="n">
        <v>356041.73</v>
      </c>
      <c r="J112" s="3" t="inlineStr">
        <is>
          <t>GBP 100m 06.08.2025 - 05.09.2025</t>
        </is>
      </c>
      <c r="K112" s="3">
        <f>E112-D112</f>
        <v/>
      </c>
      <c r="L112" s="7">
        <f>IF(K112&gt;0, I112/H112*360/K112, 0)</f>
        <v/>
      </c>
      <c r="M112" s="3">
        <f>AND(TODAY()&gt;=D112, TODAY()&lt;E112)</f>
        <v/>
      </c>
    </row>
    <row r="113">
      <c r="A113" s="3" t="inlineStr">
        <is>
          <t>FV0109</t>
        </is>
      </c>
      <c r="B113" s="3" t="inlineStr">
        <is>
          <t>Bank D</t>
        </is>
      </c>
      <c r="C113" s="3" t="inlineStr">
        <is>
          <t>CL004</t>
        </is>
      </c>
      <c r="D113" s="4" t="n">
        <v>45875</v>
      </c>
      <c r="E113" s="4" t="n">
        <v>45905</v>
      </c>
      <c r="F113" s="4" t="n">
        <v>45902</v>
      </c>
      <c r="G113" s="3" t="inlineStr">
        <is>
          <t>EUR</t>
        </is>
      </c>
      <c r="H113" s="5" t="n">
        <v>100000000</v>
      </c>
      <c r="I113" s="6" t="n">
        <v>283491.09</v>
      </c>
      <c r="J113" s="3" t="inlineStr">
        <is>
          <t>EUR 100m 06.08.2025 - 05.09.2025</t>
        </is>
      </c>
      <c r="K113" s="3">
        <f>E113-D113</f>
        <v/>
      </c>
      <c r="L113" s="7">
        <f>IF(K113&gt;0, I113/H113*360/K113, 0)</f>
        <v/>
      </c>
      <c r="M113" s="3">
        <f>AND(TODAY()&gt;=D113, TODAY()&lt;E113)</f>
        <v/>
      </c>
    </row>
    <row r="114">
      <c r="A114" s="3" t="inlineStr">
        <is>
          <t>FV0110</t>
        </is>
      </c>
      <c r="B114" s="3" t="inlineStr">
        <is>
          <t>Bank D</t>
        </is>
      </c>
      <c r="C114" s="3" t="inlineStr">
        <is>
          <t>CL004</t>
        </is>
      </c>
      <c r="D114" s="4" t="n">
        <v>45875</v>
      </c>
      <c r="E114" s="4" t="n">
        <v>45905</v>
      </c>
      <c r="F114" s="4" t="n">
        <v>45902</v>
      </c>
      <c r="G114" s="3" t="inlineStr">
        <is>
          <t>USD</t>
        </is>
      </c>
      <c r="H114" s="5" t="n">
        <v>10000000</v>
      </c>
      <c r="I114" s="6" t="n">
        <v>38262.41</v>
      </c>
      <c r="J114" s="3" t="inlineStr">
        <is>
          <t>USD 10m 06.08.2025 - 05.09.2025</t>
        </is>
      </c>
      <c r="K114" s="3">
        <f>E114-D114</f>
        <v/>
      </c>
      <c r="L114" s="7">
        <f>IF(K114&gt;0, I114/H114*360/K114, 0)</f>
        <v/>
      </c>
      <c r="M114" s="3">
        <f>AND(TODAY()&gt;=D114, TODAY()&lt;E114)</f>
        <v/>
      </c>
    </row>
    <row r="115">
      <c r="A115" s="3" t="inlineStr">
        <is>
          <t>FV0111</t>
        </is>
      </c>
      <c r="B115" s="3" t="inlineStr">
        <is>
          <t>Bank A</t>
        </is>
      </c>
      <c r="C115" s="3" t="inlineStr">
        <is>
          <t>CL001</t>
        </is>
      </c>
      <c r="D115" s="4" t="n">
        <v>45873</v>
      </c>
      <c r="E115" s="4" t="n">
        <v>45903</v>
      </c>
      <c r="F115" s="4" t="n">
        <v>45898</v>
      </c>
      <c r="G115" s="3" t="inlineStr">
        <is>
          <t>EUR</t>
        </is>
      </c>
      <c r="H115" s="5" t="n">
        <v>10000000</v>
      </c>
      <c r="I115" s="6" t="n">
        <v>29496.12</v>
      </c>
      <c r="J115" s="3" t="inlineStr">
        <is>
          <t>EUR 10m 04.08.2025 - 03.09.2025</t>
        </is>
      </c>
      <c r="K115" s="3">
        <f>E115-D115</f>
        <v/>
      </c>
      <c r="L115" s="7">
        <f>IF(K115&gt;0, I115/H115*360/K115, 0)</f>
        <v/>
      </c>
      <c r="M115" s="3">
        <f>AND(TODAY()&gt;=D115, TODAY()&lt;E115)</f>
        <v/>
      </c>
    </row>
    <row r="116">
      <c r="A116" s="3" t="inlineStr">
        <is>
          <t>FV0112</t>
        </is>
      </c>
      <c r="B116" s="3" t="inlineStr">
        <is>
          <t>Bank B</t>
        </is>
      </c>
      <c r="C116" s="3" t="inlineStr">
        <is>
          <t>CL002</t>
        </is>
      </c>
      <c r="D116" s="4" t="n">
        <v>45874</v>
      </c>
      <c r="E116" s="4" t="n">
        <v>45904</v>
      </c>
      <c r="F116" s="4" t="n">
        <v>45901</v>
      </c>
      <c r="G116" s="3" t="inlineStr">
        <is>
          <t>EUR</t>
        </is>
      </c>
      <c r="H116" s="5" t="n">
        <v>20000000</v>
      </c>
      <c r="I116" s="6" t="n">
        <v>42524.42</v>
      </c>
      <c r="J116" s="3" t="inlineStr">
        <is>
          <t>EUR 20m 05.08.2025 - 04.09.2025</t>
        </is>
      </c>
      <c r="K116" s="3">
        <f>E116-D116</f>
        <v/>
      </c>
      <c r="L116" s="7">
        <f>IF(K116&gt;0, I116/H116*360/K116, 0)</f>
        <v/>
      </c>
      <c r="M116" s="3">
        <f>AND(TODAY()&gt;=D116, TODAY()&lt;E116)</f>
        <v/>
      </c>
    </row>
    <row r="117">
      <c r="A117" s="3" t="inlineStr">
        <is>
          <t>FV0113</t>
        </is>
      </c>
      <c r="B117" s="3" t="inlineStr">
        <is>
          <t>Bank A</t>
        </is>
      </c>
      <c r="C117" s="3" t="inlineStr">
        <is>
          <t>CL001</t>
        </is>
      </c>
      <c r="D117" s="4" t="n">
        <v>45876</v>
      </c>
      <c r="E117" s="4" t="n">
        <v>45906</v>
      </c>
      <c r="F117" s="4" t="n">
        <v>45903</v>
      </c>
      <c r="G117" s="3" t="inlineStr">
        <is>
          <t>EUR</t>
        </is>
      </c>
      <c r="H117" s="5" t="n">
        <v>20000000</v>
      </c>
      <c r="I117" s="6" t="n">
        <v>53989.3</v>
      </c>
      <c r="J117" s="3" t="inlineStr">
        <is>
          <t>EUR 20m 07.08.2025 - 06.09.2025</t>
        </is>
      </c>
      <c r="K117" s="3">
        <f>E117-D117</f>
        <v/>
      </c>
      <c r="L117" s="7">
        <f>IF(K117&gt;0, I117/H117*360/K117, 0)</f>
        <v/>
      </c>
      <c r="M117" s="3">
        <f>AND(TODAY()&gt;=D117, TODAY()&lt;E117)</f>
        <v/>
      </c>
    </row>
    <row r="118">
      <c r="A118" s="3" t="inlineStr">
        <is>
          <t>FV0114</t>
        </is>
      </c>
      <c r="B118" s="3" t="inlineStr">
        <is>
          <t>Bank B</t>
        </is>
      </c>
      <c r="C118" s="3" t="inlineStr">
        <is>
          <t>CL002</t>
        </is>
      </c>
      <c r="D118" s="4" t="n">
        <v>45904</v>
      </c>
      <c r="E118" s="4" t="n">
        <v>45934</v>
      </c>
      <c r="F118" s="4" t="n">
        <v>45931</v>
      </c>
      <c r="G118" s="3" t="inlineStr">
        <is>
          <t>GBP</t>
        </is>
      </c>
      <c r="H118" s="5" t="n">
        <v>10000000</v>
      </c>
      <c r="I118" s="6" t="n">
        <v>42921.74</v>
      </c>
      <c r="J118" s="3" t="inlineStr">
        <is>
          <t>GBP 10m 04.09.2025 - 04.10.2025</t>
        </is>
      </c>
      <c r="K118" s="3">
        <f>E118-D118</f>
        <v/>
      </c>
      <c r="L118" s="7">
        <f>IF(K118&gt;0, I118/H118*360/K118, 0)</f>
        <v/>
      </c>
      <c r="M118" s="3">
        <f>AND(TODAY()&gt;=D118, TODAY()&lt;E118)</f>
        <v/>
      </c>
    </row>
    <row r="119">
      <c r="A119" s="3" t="inlineStr">
        <is>
          <t>FV0115</t>
        </is>
      </c>
      <c r="B119" s="3" t="inlineStr">
        <is>
          <t>Bank A</t>
        </is>
      </c>
      <c r="C119" s="3" t="inlineStr">
        <is>
          <t>CL001</t>
        </is>
      </c>
      <c r="D119" s="4" t="n">
        <v>45905</v>
      </c>
      <c r="E119" s="4" t="n">
        <v>45935</v>
      </c>
      <c r="F119" s="4" t="n">
        <v>45931</v>
      </c>
      <c r="G119" s="3" t="inlineStr">
        <is>
          <t>EUR</t>
        </is>
      </c>
      <c r="H119" s="5" t="n">
        <v>10000000</v>
      </c>
      <c r="I119" s="6" t="n">
        <v>25757.97</v>
      </c>
      <c r="J119" s="3" t="inlineStr">
        <is>
          <t>EUR 10m 05.09.2025 - 05.10.2025</t>
        </is>
      </c>
      <c r="K119" s="3">
        <f>E119-D119</f>
        <v/>
      </c>
      <c r="L119" s="7">
        <f>IF(K119&gt;0, I119/H119*360/K119, 0)</f>
        <v/>
      </c>
      <c r="M119" s="3">
        <f>AND(TODAY()&gt;=D119, TODAY()&lt;E119)</f>
        <v/>
      </c>
    </row>
    <row r="120">
      <c r="A120" s="3" t="inlineStr">
        <is>
          <t>FV0116</t>
        </is>
      </c>
      <c r="B120" s="3" t="inlineStr">
        <is>
          <t>Bank D</t>
        </is>
      </c>
      <c r="C120" s="3" t="inlineStr">
        <is>
          <t>CL004</t>
        </is>
      </c>
      <c r="D120" s="4" t="n">
        <v>45903</v>
      </c>
      <c r="E120" s="4" t="n">
        <v>45933</v>
      </c>
      <c r="F120" s="4" t="n">
        <v>45930</v>
      </c>
      <c r="G120" s="3" t="inlineStr">
        <is>
          <t>EUR</t>
        </is>
      </c>
      <c r="H120" s="5" t="n">
        <v>20000000</v>
      </c>
      <c r="I120" s="6" t="n">
        <v>51841.96</v>
      </c>
      <c r="J120" s="3" t="inlineStr">
        <is>
          <t>EUR 20m 03.09.2025 - 03.10.2025</t>
        </is>
      </c>
      <c r="K120" s="3">
        <f>E120-D120</f>
        <v/>
      </c>
      <c r="L120" s="7">
        <f>IF(K120&gt;0, I120/H120*360/K120, 0)</f>
        <v/>
      </c>
      <c r="M120" s="3">
        <f>AND(TODAY()&gt;=D120, TODAY()&lt;E120)</f>
        <v/>
      </c>
    </row>
    <row r="121">
      <c r="A121" s="3" t="inlineStr">
        <is>
          <t>FV0117</t>
        </is>
      </c>
      <c r="B121" s="3" t="inlineStr">
        <is>
          <t>Bank B</t>
        </is>
      </c>
      <c r="C121" s="3" t="inlineStr">
        <is>
          <t>CL002</t>
        </is>
      </c>
      <c r="D121" s="4" t="n">
        <v>45907</v>
      </c>
      <c r="E121" s="4" t="n">
        <v>45937</v>
      </c>
      <c r="F121" s="4" t="n">
        <v>45932</v>
      </c>
      <c r="G121" s="3" t="inlineStr">
        <is>
          <t>EUR</t>
        </is>
      </c>
      <c r="H121" s="5" t="n">
        <v>50000000</v>
      </c>
      <c r="I121" s="6" t="n">
        <v>140276.4</v>
      </c>
      <c r="J121" s="3" t="inlineStr">
        <is>
          <t>EUR 50m 07.09.2025 - 07.10.2025</t>
        </is>
      </c>
      <c r="K121" s="3">
        <f>E121-D121</f>
        <v/>
      </c>
      <c r="L121" s="7">
        <f>IF(K121&gt;0, I121/H121*360/K121, 0)</f>
        <v/>
      </c>
      <c r="M121" s="3">
        <f>AND(TODAY()&gt;=D121, TODAY()&lt;E121)</f>
        <v/>
      </c>
    </row>
    <row r="122">
      <c r="A122" s="3" t="inlineStr">
        <is>
          <t>FV0118</t>
        </is>
      </c>
      <c r="B122" s="3" t="inlineStr">
        <is>
          <t>Bank A</t>
        </is>
      </c>
      <c r="C122" s="3" t="inlineStr">
        <is>
          <t>CL001</t>
        </is>
      </c>
      <c r="D122" s="4" t="n">
        <v>45905</v>
      </c>
      <c r="E122" s="4" t="n">
        <v>45935</v>
      </c>
      <c r="F122" s="4" t="n">
        <v>45931</v>
      </c>
      <c r="G122" s="3" t="inlineStr">
        <is>
          <t>GBP</t>
        </is>
      </c>
      <c r="H122" s="5" t="n">
        <v>100000000</v>
      </c>
      <c r="I122" s="6" t="n">
        <v>324711.62</v>
      </c>
      <c r="J122" s="3" t="inlineStr">
        <is>
          <t>GBP 100m 05.09.2025 - 05.10.2025</t>
        </is>
      </c>
      <c r="K122" s="3">
        <f>E122-D122</f>
        <v/>
      </c>
      <c r="L122" s="7">
        <f>IF(K122&gt;0, I122/H122*360/K122, 0)</f>
        <v/>
      </c>
      <c r="M122" s="3">
        <f>AND(TODAY()&gt;=D122, TODAY()&lt;E122)</f>
        <v/>
      </c>
    </row>
    <row r="123">
      <c r="A123" s="3" t="inlineStr">
        <is>
          <t>FV0119</t>
        </is>
      </c>
      <c r="B123" s="3" t="inlineStr">
        <is>
          <t>Bank C</t>
        </is>
      </c>
      <c r="C123" s="3" t="inlineStr">
        <is>
          <t>CL003</t>
        </is>
      </c>
      <c r="D123" s="4" t="n">
        <v>45906</v>
      </c>
      <c r="E123" s="4" t="n">
        <v>45936</v>
      </c>
      <c r="F123" s="4" t="n">
        <v>45931</v>
      </c>
      <c r="G123" s="3" t="inlineStr">
        <is>
          <t>GBP</t>
        </is>
      </c>
      <c r="H123" s="5" t="n">
        <v>100000000</v>
      </c>
      <c r="I123" s="6" t="n">
        <v>328979.53</v>
      </c>
      <c r="J123" s="3" t="inlineStr">
        <is>
          <t>GBP 100m 06.09.2025 - 06.10.2025</t>
        </is>
      </c>
      <c r="K123" s="3">
        <f>E123-D123</f>
        <v/>
      </c>
      <c r="L123" s="7">
        <f>IF(K123&gt;0, I123/H123*360/K123, 0)</f>
        <v/>
      </c>
      <c r="M123" s="3">
        <f>AND(TODAY()&gt;=D123, TODAY()&lt;E123)</f>
        <v/>
      </c>
    </row>
    <row r="124">
      <c r="A124" s="3" t="inlineStr">
        <is>
          <t>FV0120</t>
        </is>
      </c>
      <c r="B124" s="3" t="inlineStr">
        <is>
          <t>Bank C</t>
        </is>
      </c>
      <c r="C124" s="3" t="inlineStr">
        <is>
          <t>CL003</t>
        </is>
      </c>
      <c r="D124" s="4" t="n">
        <v>45904</v>
      </c>
      <c r="E124" s="4" t="n">
        <v>45934</v>
      </c>
      <c r="F124" s="4" t="n">
        <v>45931</v>
      </c>
      <c r="G124" s="3" t="inlineStr">
        <is>
          <t>USD</t>
        </is>
      </c>
      <c r="H124" s="5" t="n">
        <v>100000000</v>
      </c>
      <c r="I124" s="6" t="n">
        <v>405511.11</v>
      </c>
      <c r="J124" s="3" t="inlineStr">
        <is>
          <t>USD 100m 04.09.2025 - 04.10.2025</t>
        </is>
      </c>
      <c r="K124" s="3">
        <f>E124-D124</f>
        <v/>
      </c>
      <c r="L124" s="7">
        <f>IF(K124&gt;0, I124/H124*360/K124, 0)</f>
        <v/>
      </c>
      <c r="M124" s="3">
        <f>AND(TODAY()&gt;=D124, TODAY()&lt;E124)</f>
        <v/>
      </c>
    </row>
    <row r="125">
      <c r="A125" s="3" t="inlineStr">
        <is>
          <t>FV0121</t>
        </is>
      </c>
      <c r="B125" s="3" t="inlineStr">
        <is>
          <t>Bank C</t>
        </is>
      </c>
      <c r="C125" s="3" t="inlineStr">
        <is>
          <t>CL003</t>
        </is>
      </c>
      <c r="D125" s="4" t="n">
        <v>45906</v>
      </c>
      <c r="E125" s="4" t="n">
        <v>45936</v>
      </c>
      <c r="F125" s="4" t="n">
        <v>45931</v>
      </c>
      <c r="G125" s="3" t="inlineStr">
        <is>
          <t>USD</t>
        </is>
      </c>
      <c r="H125" s="5" t="n">
        <v>100000000</v>
      </c>
      <c r="I125" s="6" t="n">
        <v>405520.57</v>
      </c>
      <c r="J125" s="3" t="inlineStr">
        <is>
          <t>USD 100m 06.09.2025 - 06.10.2025</t>
        </is>
      </c>
      <c r="K125" s="3">
        <f>E125-D125</f>
        <v/>
      </c>
      <c r="L125" s="7">
        <f>IF(K125&gt;0, I125/H125*360/K125, 0)</f>
        <v/>
      </c>
      <c r="M125" s="3">
        <f>AND(TODAY()&gt;=D125, TODAY()&lt;E125)</f>
        <v/>
      </c>
    </row>
    <row r="126">
      <c r="A126" s="3" t="inlineStr">
        <is>
          <t>FV0122</t>
        </is>
      </c>
      <c r="B126" s="3" t="inlineStr">
        <is>
          <t>Bank C</t>
        </is>
      </c>
      <c r="C126" s="3" t="inlineStr">
        <is>
          <t>CL003</t>
        </is>
      </c>
      <c r="D126" s="4" t="n">
        <v>45903</v>
      </c>
      <c r="E126" s="4" t="n">
        <v>45933</v>
      </c>
      <c r="F126" s="4" t="n">
        <v>45930</v>
      </c>
      <c r="G126" s="3" t="inlineStr">
        <is>
          <t>EUR</t>
        </is>
      </c>
      <c r="H126" s="5" t="n">
        <v>20000000</v>
      </c>
      <c r="I126" s="6" t="n">
        <v>45578.56</v>
      </c>
      <c r="J126" s="3" t="inlineStr">
        <is>
          <t>EUR 20m 03.09.2025 - 03.10.2025</t>
        </is>
      </c>
      <c r="K126" s="3">
        <f>E126-D126</f>
        <v/>
      </c>
      <c r="L126" s="7">
        <f>IF(K126&gt;0, I126/H126*360/K126, 0)</f>
        <v/>
      </c>
      <c r="M126" s="3">
        <f>AND(TODAY()&gt;=D126, TODAY()&lt;E126)</f>
        <v/>
      </c>
    </row>
    <row r="127">
      <c r="A127" s="3" t="inlineStr">
        <is>
          <t>FV0123</t>
        </is>
      </c>
      <c r="B127" s="3" t="inlineStr">
        <is>
          <t>Bank D</t>
        </is>
      </c>
      <c r="C127" s="3" t="inlineStr">
        <is>
          <t>CL004</t>
        </is>
      </c>
      <c r="D127" s="4" t="n">
        <v>45907</v>
      </c>
      <c r="E127" s="4" t="n">
        <v>45937</v>
      </c>
      <c r="F127" s="4" t="n">
        <v>45932</v>
      </c>
      <c r="G127" s="3" t="inlineStr">
        <is>
          <t>USD</t>
        </is>
      </c>
      <c r="H127" s="5" t="n">
        <v>100000000</v>
      </c>
      <c r="I127" s="6" t="n">
        <v>424452.6</v>
      </c>
      <c r="J127" s="3" t="inlineStr">
        <is>
          <t>USD 100m 07.09.2025 - 07.10.2025</t>
        </is>
      </c>
      <c r="K127" s="3">
        <f>E127-D127</f>
        <v/>
      </c>
      <c r="L127" s="7">
        <f>IF(K127&gt;0, I127/H127*360/K127, 0)</f>
        <v/>
      </c>
      <c r="M127" s="3">
        <f>AND(TODAY()&gt;=D127, TODAY()&lt;E127)</f>
        <v/>
      </c>
    </row>
    <row r="128">
      <c r="A128" s="3" t="inlineStr">
        <is>
          <t>FV0124</t>
        </is>
      </c>
      <c r="B128" s="3" t="inlineStr">
        <is>
          <t>Bank D</t>
        </is>
      </c>
      <c r="C128" s="3" t="inlineStr">
        <is>
          <t>CL004</t>
        </is>
      </c>
      <c r="D128" s="4" t="n">
        <v>45906</v>
      </c>
      <c r="E128" s="4" t="n">
        <v>45936</v>
      </c>
      <c r="F128" s="4" t="n">
        <v>45931</v>
      </c>
      <c r="G128" s="3" t="inlineStr">
        <is>
          <t>EUR</t>
        </is>
      </c>
      <c r="H128" s="5" t="n">
        <v>10000000</v>
      </c>
      <c r="I128" s="6" t="n">
        <v>28509.53</v>
      </c>
      <c r="J128" s="3" t="inlineStr">
        <is>
          <t>EUR 10m 06.09.2025 - 06.10.2025</t>
        </is>
      </c>
      <c r="K128" s="3">
        <f>E128-D128</f>
        <v/>
      </c>
      <c r="L128" s="7">
        <f>IF(K128&gt;0, I128/H128*360/K128, 0)</f>
        <v/>
      </c>
      <c r="M128" s="3">
        <f>AND(TODAY()&gt;=D128, TODAY()&lt;E128)</f>
        <v/>
      </c>
    </row>
    <row r="129">
      <c r="A129" s="3" t="inlineStr">
        <is>
          <t>FV0125</t>
        </is>
      </c>
      <c r="B129" s="3" t="inlineStr">
        <is>
          <t>Bank B</t>
        </is>
      </c>
      <c r="C129" s="3" t="inlineStr">
        <is>
          <t>CL002</t>
        </is>
      </c>
      <c r="D129" s="4" t="n">
        <v>45905</v>
      </c>
      <c r="E129" s="4" t="n">
        <v>45935</v>
      </c>
      <c r="F129" s="4" t="n">
        <v>45931</v>
      </c>
      <c r="G129" s="3" t="inlineStr">
        <is>
          <t>USD</t>
        </is>
      </c>
      <c r="H129" s="5" t="n">
        <v>20000000</v>
      </c>
      <c r="I129" s="6" t="n">
        <v>88953.03</v>
      </c>
      <c r="J129" s="3" t="inlineStr">
        <is>
          <t>USD 20m 05.09.2025 - 05.10.2025</t>
        </is>
      </c>
      <c r="K129" s="3">
        <f>E129-D129</f>
        <v/>
      </c>
      <c r="L129" s="7">
        <f>IF(K129&gt;0, I129/H129*360/K129, 0)</f>
        <v/>
      </c>
      <c r="M129" s="3">
        <f>AND(TODAY()&gt;=D129, TODAY()&lt;E129)</f>
        <v/>
      </c>
    </row>
    <row r="130">
      <c r="A130" s="3" t="inlineStr">
        <is>
          <t>FV0126</t>
        </is>
      </c>
      <c r="B130" s="3" t="inlineStr">
        <is>
          <t>Bank C</t>
        </is>
      </c>
      <c r="C130" s="3" t="inlineStr">
        <is>
          <t>CL003</t>
        </is>
      </c>
      <c r="D130" s="4" t="n">
        <v>45907</v>
      </c>
      <c r="E130" s="4" t="n">
        <v>45937</v>
      </c>
      <c r="F130" s="4" t="n">
        <v>45932</v>
      </c>
      <c r="G130" s="3" t="inlineStr">
        <is>
          <t>EUR</t>
        </is>
      </c>
      <c r="H130" s="5" t="n">
        <v>50000000</v>
      </c>
      <c r="I130" s="6" t="n">
        <v>100507.56</v>
      </c>
      <c r="J130" s="3" t="inlineStr">
        <is>
          <t>EUR 50m 07.09.2025 - 07.10.2025</t>
        </is>
      </c>
      <c r="K130" s="3">
        <f>E130-D130</f>
        <v/>
      </c>
      <c r="L130" s="7">
        <f>IF(K130&gt;0, I130/H130*360/K130, 0)</f>
        <v/>
      </c>
      <c r="M130" s="3">
        <f>AND(TODAY()&gt;=D130, TODAY()&lt;E130)</f>
        <v/>
      </c>
    </row>
    <row r="131">
      <c r="A131" s="3" t="inlineStr">
        <is>
          <t>FV0127</t>
        </is>
      </c>
      <c r="B131" s="3" t="inlineStr">
        <is>
          <t>Bank B</t>
        </is>
      </c>
      <c r="C131" s="3" t="inlineStr">
        <is>
          <t>CL002</t>
        </is>
      </c>
      <c r="D131" s="4" t="n">
        <v>45906</v>
      </c>
      <c r="E131" s="4" t="n">
        <v>45936</v>
      </c>
      <c r="F131" s="4" t="n">
        <v>45931</v>
      </c>
      <c r="G131" s="3" t="inlineStr">
        <is>
          <t>EUR</t>
        </is>
      </c>
      <c r="H131" s="5" t="n">
        <v>20000000</v>
      </c>
      <c r="I131" s="6" t="n">
        <v>49771.56</v>
      </c>
      <c r="J131" s="3" t="inlineStr">
        <is>
          <t>EUR 20m 06.09.2025 - 06.10.2025</t>
        </is>
      </c>
      <c r="K131" s="3">
        <f>E131-D131</f>
        <v/>
      </c>
      <c r="L131" s="7">
        <f>IF(K131&gt;0, I131/H131*360/K131, 0)</f>
        <v/>
      </c>
      <c r="M131" s="3">
        <f>AND(TODAY()&gt;=D131, TODAY()&lt;E131)</f>
        <v/>
      </c>
    </row>
    <row r="132">
      <c r="A132" s="3" t="inlineStr">
        <is>
          <t>FV0128</t>
        </is>
      </c>
      <c r="B132" s="3" t="inlineStr">
        <is>
          <t>Bank D</t>
        </is>
      </c>
      <c r="C132" s="3" t="inlineStr">
        <is>
          <t>CL004</t>
        </is>
      </c>
      <c r="D132" s="4" t="n">
        <v>45936</v>
      </c>
      <c r="E132" s="4" t="n">
        <v>45966</v>
      </c>
      <c r="F132" s="4" t="n">
        <v>45961</v>
      </c>
      <c r="G132" s="3" t="inlineStr">
        <is>
          <t>GBP</t>
        </is>
      </c>
      <c r="H132" s="5" t="n">
        <v>100000000</v>
      </c>
      <c r="I132" s="6" t="n">
        <v>409175.5</v>
      </c>
      <c r="J132" s="3" t="inlineStr">
        <is>
          <t>GBP 100m 06.10.2025 - 05.11.2025</t>
        </is>
      </c>
      <c r="K132" s="3">
        <f>E132-D132</f>
        <v/>
      </c>
      <c r="L132" s="7">
        <f>IF(K132&gt;0, I132/H132*360/K132, 0)</f>
        <v/>
      </c>
      <c r="M132" s="3">
        <f>AND(TODAY()&gt;=D132, TODAY()&lt;E132)</f>
        <v/>
      </c>
    </row>
    <row r="133">
      <c r="A133" s="3" t="inlineStr">
        <is>
          <t>FV0129</t>
        </is>
      </c>
      <c r="B133" s="3" t="inlineStr">
        <is>
          <t>Bank A</t>
        </is>
      </c>
      <c r="C133" s="3" t="inlineStr">
        <is>
          <t>CL001</t>
        </is>
      </c>
      <c r="D133" s="4" t="n">
        <v>45936</v>
      </c>
      <c r="E133" s="4" t="n">
        <v>45966</v>
      </c>
      <c r="F133" s="4" t="n">
        <v>45961</v>
      </c>
      <c r="G133" s="3" t="inlineStr">
        <is>
          <t>GBP</t>
        </is>
      </c>
      <c r="H133" s="5" t="n">
        <v>20000000</v>
      </c>
      <c r="I133" s="6" t="n">
        <v>79475.03</v>
      </c>
      <c r="J133" s="3" t="inlineStr">
        <is>
          <t>GBP 20m 06.10.2025 - 05.11.2025</t>
        </is>
      </c>
      <c r="K133" s="3">
        <f>E133-D133</f>
        <v/>
      </c>
      <c r="L133" s="7">
        <f>IF(K133&gt;0, I133/H133*360/K133, 0)</f>
        <v/>
      </c>
      <c r="M133" s="3">
        <f>AND(TODAY()&gt;=D133, TODAY()&lt;E133)</f>
        <v/>
      </c>
    </row>
    <row r="134">
      <c r="A134" s="3" t="inlineStr">
        <is>
          <t>FV0130</t>
        </is>
      </c>
      <c r="B134" s="3" t="inlineStr">
        <is>
          <t>Bank C</t>
        </is>
      </c>
      <c r="C134" s="3" t="inlineStr">
        <is>
          <t>CL003</t>
        </is>
      </c>
      <c r="D134" s="4" t="n">
        <v>45936</v>
      </c>
      <c r="E134" s="4" t="n">
        <v>45966</v>
      </c>
      <c r="F134" s="4" t="n">
        <v>45961</v>
      </c>
      <c r="G134" s="3" t="inlineStr">
        <is>
          <t>USD</t>
        </is>
      </c>
      <c r="H134" s="5" t="n">
        <v>50000000</v>
      </c>
      <c r="I134" s="6" t="n">
        <v>209146.45</v>
      </c>
      <c r="J134" s="3" t="inlineStr">
        <is>
          <t>USD 50m 06.10.2025 - 05.11.2025</t>
        </is>
      </c>
      <c r="K134" s="3">
        <f>E134-D134</f>
        <v/>
      </c>
      <c r="L134" s="7">
        <f>IF(K134&gt;0, I134/H134*360/K134, 0)</f>
        <v/>
      </c>
      <c r="M134" s="3">
        <f>AND(TODAY()&gt;=D134, TODAY()&lt;E134)</f>
        <v/>
      </c>
    </row>
    <row r="135">
      <c r="A135" s="3" t="inlineStr">
        <is>
          <t>FV0131</t>
        </is>
      </c>
      <c r="B135" s="3" t="inlineStr">
        <is>
          <t>Bank C</t>
        </is>
      </c>
      <c r="C135" s="3" t="inlineStr">
        <is>
          <t>CL003</t>
        </is>
      </c>
      <c r="D135" s="4" t="n">
        <v>45935</v>
      </c>
      <c r="E135" s="4" t="n">
        <v>45965</v>
      </c>
      <c r="F135" s="4" t="n">
        <v>45960</v>
      </c>
      <c r="G135" s="3" t="inlineStr">
        <is>
          <t>EUR</t>
        </is>
      </c>
      <c r="H135" s="5" t="n">
        <v>50000000</v>
      </c>
      <c r="I135" s="6" t="n">
        <v>135142.75</v>
      </c>
      <c r="J135" s="3" t="inlineStr">
        <is>
          <t>EUR 50m 05.10.2025 - 04.11.2025</t>
        </is>
      </c>
      <c r="K135" s="3">
        <f>E135-D135</f>
        <v/>
      </c>
      <c r="L135" s="7">
        <f>IF(K135&gt;0, I135/H135*360/K135, 0)</f>
        <v/>
      </c>
      <c r="M135" s="3">
        <f>AND(TODAY()&gt;=D135, TODAY()&lt;E135)</f>
        <v/>
      </c>
    </row>
    <row r="136">
      <c r="A136" s="3" t="inlineStr">
        <is>
          <t>FV0132</t>
        </is>
      </c>
      <c r="B136" s="3" t="inlineStr">
        <is>
          <t>Bank C</t>
        </is>
      </c>
      <c r="C136" s="3" t="inlineStr">
        <is>
          <t>CL003</t>
        </is>
      </c>
      <c r="D136" s="4" t="n">
        <v>45934</v>
      </c>
      <c r="E136" s="4" t="n">
        <v>45964</v>
      </c>
      <c r="F136" s="4" t="n">
        <v>45959</v>
      </c>
      <c r="G136" s="3" t="inlineStr">
        <is>
          <t>EUR</t>
        </is>
      </c>
      <c r="H136" s="5" t="n">
        <v>50000000</v>
      </c>
      <c r="I136" s="6" t="n">
        <v>106032.79</v>
      </c>
      <c r="J136" s="3" t="inlineStr">
        <is>
          <t>EUR 50m 04.10.2025 - 03.11.2025</t>
        </is>
      </c>
      <c r="K136" s="3">
        <f>E136-D136</f>
        <v/>
      </c>
      <c r="L136" s="7">
        <f>IF(K136&gt;0, I136/H136*360/K136, 0)</f>
        <v/>
      </c>
      <c r="M136" s="3">
        <f>AND(TODAY()&gt;=D136, TODAY()&lt;E136)</f>
        <v/>
      </c>
    </row>
    <row r="137">
      <c r="A137" s="3" t="inlineStr">
        <is>
          <t>FV0133</t>
        </is>
      </c>
      <c r="B137" s="3" t="inlineStr">
        <is>
          <t>Bank B</t>
        </is>
      </c>
      <c r="C137" s="3" t="inlineStr">
        <is>
          <t>CL002</t>
        </is>
      </c>
      <c r="D137" s="4" t="n">
        <v>45937</v>
      </c>
      <c r="E137" s="4" t="n">
        <v>45967</v>
      </c>
      <c r="F137" s="4" t="n">
        <v>45964</v>
      </c>
      <c r="G137" s="3" t="inlineStr">
        <is>
          <t>USD</t>
        </is>
      </c>
      <c r="H137" s="5" t="n">
        <v>10000000</v>
      </c>
      <c r="I137" s="6" t="n">
        <v>46134.51</v>
      </c>
      <c r="J137" s="3" t="inlineStr">
        <is>
          <t>USD 10m 07.10.2025 - 06.11.2025</t>
        </is>
      </c>
      <c r="K137" s="3">
        <f>E137-D137</f>
        <v/>
      </c>
      <c r="L137" s="7">
        <f>IF(K137&gt;0, I137/H137*360/K137, 0)</f>
        <v/>
      </c>
      <c r="M137" s="3">
        <f>AND(TODAY()&gt;=D137, TODAY()&lt;E137)</f>
        <v/>
      </c>
    </row>
    <row r="138">
      <c r="A138" s="3" t="inlineStr">
        <is>
          <t>FV0134</t>
        </is>
      </c>
      <c r="B138" s="3" t="inlineStr">
        <is>
          <t>Bank B</t>
        </is>
      </c>
      <c r="C138" s="3" t="inlineStr">
        <is>
          <t>CL002</t>
        </is>
      </c>
      <c r="D138" s="4" t="n">
        <v>45936</v>
      </c>
      <c r="E138" s="4" t="n">
        <v>45966</v>
      </c>
      <c r="F138" s="4" t="n">
        <v>45961</v>
      </c>
      <c r="G138" s="3" t="inlineStr">
        <is>
          <t>EUR</t>
        </is>
      </c>
      <c r="H138" s="5" t="n">
        <v>20000000</v>
      </c>
      <c r="I138" s="6" t="n">
        <v>45529.99</v>
      </c>
      <c r="J138" s="3" t="inlineStr">
        <is>
          <t>EUR 20m 06.10.2025 - 05.11.2025</t>
        </is>
      </c>
      <c r="K138" s="3">
        <f>E138-D138</f>
        <v/>
      </c>
      <c r="L138" s="7">
        <f>IF(K138&gt;0, I138/H138*360/K138, 0)</f>
        <v/>
      </c>
      <c r="M138" s="3">
        <f>AND(TODAY()&gt;=D138, TODAY()&lt;E138)</f>
        <v/>
      </c>
    </row>
    <row r="139">
      <c r="A139" s="3" t="inlineStr">
        <is>
          <t>FV0135</t>
        </is>
      </c>
      <c r="B139" s="3" t="inlineStr">
        <is>
          <t>Bank C</t>
        </is>
      </c>
      <c r="C139" s="3" t="inlineStr">
        <is>
          <t>CL003</t>
        </is>
      </c>
      <c r="D139" s="4" t="n">
        <v>45935</v>
      </c>
      <c r="E139" s="4" t="n">
        <v>45965</v>
      </c>
      <c r="F139" s="4" t="n">
        <v>45960</v>
      </c>
      <c r="G139" s="3" t="inlineStr">
        <is>
          <t>GBP</t>
        </is>
      </c>
      <c r="H139" s="5" t="n">
        <v>20000000</v>
      </c>
      <c r="I139" s="6" t="n">
        <v>68641.27</v>
      </c>
      <c r="J139" s="3" t="inlineStr">
        <is>
          <t>GBP 20m 05.10.2025 - 04.11.2025</t>
        </is>
      </c>
      <c r="K139" s="3">
        <f>E139-D139</f>
        <v/>
      </c>
      <c r="L139" s="7">
        <f>IF(K139&gt;0, I139/H139*360/K139, 0)</f>
        <v/>
      </c>
      <c r="M139" s="3">
        <f>AND(TODAY()&gt;=D139, TODAY()&lt;E139)</f>
        <v/>
      </c>
    </row>
    <row r="140">
      <c r="A140" s="3" t="inlineStr">
        <is>
          <t>FV0136</t>
        </is>
      </c>
      <c r="B140" s="3" t="inlineStr">
        <is>
          <t>Bank B</t>
        </is>
      </c>
      <c r="C140" s="3" t="inlineStr">
        <is>
          <t>CL002</t>
        </is>
      </c>
      <c r="D140" s="4" t="n">
        <v>45937</v>
      </c>
      <c r="E140" s="4" t="n">
        <v>45967</v>
      </c>
      <c r="F140" s="4" t="n">
        <v>45964</v>
      </c>
      <c r="G140" s="3" t="inlineStr">
        <is>
          <t>USD</t>
        </is>
      </c>
      <c r="H140" s="5" t="n">
        <v>10000000</v>
      </c>
      <c r="I140" s="6" t="n">
        <v>37204.65</v>
      </c>
      <c r="J140" s="3" t="inlineStr">
        <is>
          <t>USD 10m 07.10.2025 - 06.11.2025</t>
        </is>
      </c>
      <c r="K140" s="3">
        <f>E140-D140</f>
        <v/>
      </c>
      <c r="L140" s="7">
        <f>IF(K140&gt;0, I140/H140*360/K140, 0)</f>
        <v/>
      </c>
      <c r="M140" s="3">
        <f>AND(TODAY()&gt;=D140, TODAY()&lt;E140)</f>
        <v/>
      </c>
    </row>
    <row r="141">
      <c r="A141" s="3" t="inlineStr">
        <is>
          <t>FV0137</t>
        </is>
      </c>
      <c r="B141" s="3" t="inlineStr">
        <is>
          <t>Bank A</t>
        </is>
      </c>
      <c r="C141" s="3" t="inlineStr">
        <is>
          <t>CL001</t>
        </is>
      </c>
      <c r="D141" s="4" t="n">
        <v>45934</v>
      </c>
      <c r="E141" s="4" t="n">
        <v>45964</v>
      </c>
      <c r="F141" s="4" t="n">
        <v>45959</v>
      </c>
      <c r="G141" s="3" t="inlineStr">
        <is>
          <t>CHF</t>
        </is>
      </c>
      <c r="H141" s="5" t="n">
        <v>50000000</v>
      </c>
      <c r="I141" s="6" t="n">
        <v>76937.86</v>
      </c>
      <c r="J141" s="3" t="inlineStr">
        <is>
          <t>CHF 50m 04.10.2025 - 03.11.2025</t>
        </is>
      </c>
      <c r="K141" s="3">
        <f>E141-D141</f>
        <v/>
      </c>
      <c r="L141" s="7">
        <f>IF(K141&gt;0, I141/H141*360/K141, 0)</f>
        <v/>
      </c>
      <c r="M141" s="3">
        <f>AND(TODAY()&gt;=D141, TODAY()&lt;E141)</f>
        <v/>
      </c>
    </row>
    <row r="142">
      <c r="A142" s="3" t="inlineStr">
        <is>
          <t>FV0138</t>
        </is>
      </c>
      <c r="B142" s="3" t="inlineStr">
        <is>
          <t>Bank D</t>
        </is>
      </c>
      <c r="C142" s="3" t="inlineStr">
        <is>
          <t>CL004</t>
        </is>
      </c>
      <c r="D142" s="4" t="n">
        <v>45937</v>
      </c>
      <c r="E142" s="4" t="n">
        <v>45967</v>
      </c>
      <c r="F142" s="4" t="n">
        <v>45964</v>
      </c>
      <c r="G142" s="3" t="inlineStr">
        <is>
          <t>USD</t>
        </is>
      </c>
      <c r="H142" s="5" t="n">
        <v>10000000</v>
      </c>
      <c r="I142" s="6" t="n">
        <v>38913.68</v>
      </c>
      <c r="J142" s="3" t="inlineStr">
        <is>
          <t>USD 10m 07.10.2025 - 06.11.2025</t>
        </is>
      </c>
      <c r="K142" s="3">
        <f>E142-D142</f>
        <v/>
      </c>
      <c r="L142" s="7">
        <f>IF(K142&gt;0, I142/H142*360/K142, 0)</f>
        <v/>
      </c>
      <c r="M142" s="3">
        <f>AND(TODAY()&gt;=D142, TODAY()&lt;E142)</f>
        <v/>
      </c>
    </row>
    <row r="143">
      <c r="A143" s="3" t="inlineStr">
        <is>
          <t>FV0139</t>
        </is>
      </c>
      <c r="B143" s="3" t="inlineStr">
        <is>
          <t>Bank D</t>
        </is>
      </c>
      <c r="C143" s="3" t="inlineStr">
        <is>
          <t>CL004</t>
        </is>
      </c>
      <c r="D143" s="4" t="n">
        <v>45934</v>
      </c>
      <c r="E143" s="4" t="n">
        <v>45964</v>
      </c>
      <c r="F143" s="4" t="n">
        <v>45959</v>
      </c>
      <c r="G143" s="3" t="inlineStr">
        <is>
          <t>EUR</t>
        </is>
      </c>
      <c r="H143" s="5" t="n">
        <v>50000000</v>
      </c>
      <c r="I143" s="6" t="n">
        <v>148274.88</v>
      </c>
      <c r="J143" s="3" t="inlineStr">
        <is>
          <t>EUR 50m 04.10.2025 - 03.11.2025</t>
        </is>
      </c>
      <c r="K143" s="3">
        <f>E143-D143</f>
        <v/>
      </c>
      <c r="L143" s="7">
        <f>IF(K143&gt;0, I143/H143*360/K143, 0)</f>
        <v/>
      </c>
      <c r="M143" s="3">
        <f>AND(TODAY()&gt;=D143, TODAY()&lt;E143)</f>
        <v/>
      </c>
    </row>
    <row r="144">
      <c r="A144" s="3" t="inlineStr">
        <is>
          <t>FV0140</t>
        </is>
      </c>
      <c r="B144" s="3" t="inlineStr">
        <is>
          <t>Bank C</t>
        </is>
      </c>
      <c r="C144" s="3" t="inlineStr">
        <is>
          <t>CL003</t>
        </is>
      </c>
      <c r="D144" s="4" t="n">
        <v>45933</v>
      </c>
      <c r="E144" s="4" t="n">
        <v>45963</v>
      </c>
      <c r="F144" s="4" t="n">
        <v>45959</v>
      </c>
      <c r="G144" s="3" t="inlineStr">
        <is>
          <t>EUR</t>
        </is>
      </c>
      <c r="H144" s="5" t="n">
        <v>10000000</v>
      </c>
      <c r="I144" s="6" t="n">
        <v>24007.07</v>
      </c>
      <c r="J144" s="3" t="inlineStr">
        <is>
          <t>EUR 10m 03.10.2025 - 02.11.2025</t>
        </is>
      </c>
      <c r="K144" s="3">
        <f>E144-D144</f>
        <v/>
      </c>
      <c r="L144" s="7">
        <f>IF(K144&gt;0, I144/H144*360/K144, 0)</f>
        <v/>
      </c>
      <c r="M144" s="3">
        <f>AND(TODAY()&gt;=D144, TODAY()&lt;E144)</f>
        <v/>
      </c>
    </row>
    <row r="145">
      <c r="A145" s="3" t="inlineStr">
        <is>
          <t>FV0141</t>
        </is>
      </c>
      <c r="B145" s="3" t="inlineStr">
        <is>
          <t>Bank A</t>
        </is>
      </c>
      <c r="C145" s="3" t="inlineStr">
        <is>
          <t>CL001</t>
        </is>
      </c>
      <c r="D145" s="4" t="n">
        <v>45967</v>
      </c>
      <c r="E145" s="4" t="n">
        <v>45997</v>
      </c>
      <c r="F145" s="4" t="n">
        <v>45994</v>
      </c>
      <c r="G145" s="3" t="inlineStr">
        <is>
          <t>CHF</t>
        </is>
      </c>
      <c r="H145" s="5" t="n">
        <v>20000000</v>
      </c>
      <c r="I145" s="6" t="n">
        <v>34406.47</v>
      </c>
      <c r="J145" s="3" t="inlineStr">
        <is>
          <t>CHF 20m 06.11.2025 - 06.12.2025</t>
        </is>
      </c>
      <c r="K145" s="3">
        <f>E145-D145</f>
        <v/>
      </c>
      <c r="L145" s="7">
        <f>IF(K145&gt;0, I145/H145*360/K145, 0)</f>
        <v/>
      </c>
      <c r="M145" s="3">
        <f>AND(TODAY()&gt;=D145, TODAY()&lt;E145)</f>
        <v/>
      </c>
    </row>
    <row r="146">
      <c r="A146" s="3" t="inlineStr">
        <is>
          <t>FV0142</t>
        </is>
      </c>
      <c r="B146" s="3" t="inlineStr">
        <is>
          <t>Bank A</t>
        </is>
      </c>
      <c r="C146" s="3" t="inlineStr">
        <is>
          <t>CL001</t>
        </is>
      </c>
      <c r="D146" s="4" t="n">
        <v>45967</v>
      </c>
      <c r="E146" s="4" t="n">
        <v>45997</v>
      </c>
      <c r="F146" s="4" t="n">
        <v>45994</v>
      </c>
      <c r="G146" s="3" t="inlineStr">
        <is>
          <t>CHF</t>
        </is>
      </c>
      <c r="H146" s="5" t="n">
        <v>10000000</v>
      </c>
      <c r="I146" s="6" t="n">
        <v>16125.92</v>
      </c>
      <c r="J146" s="3" t="inlineStr">
        <is>
          <t>CHF 10m 06.11.2025 - 06.12.2025</t>
        </is>
      </c>
      <c r="K146" s="3">
        <f>E146-D146</f>
        <v/>
      </c>
      <c r="L146" s="7">
        <f>IF(K146&gt;0, I146/H146*360/K146, 0)</f>
        <v/>
      </c>
      <c r="M146" s="3">
        <f>AND(TODAY()&gt;=D146, TODAY()&lt;E146)</f>
        <v/>
      </c>
    </row>
    <row r="147">
      <c r="A147" s="3" t="inlineStr">
        <is>
          <t>FV0143</t>
        </is>
      </c>
      <c r="B147" s="3" t="inlineStr">
        <is>
          <t>Bank B</t>
        </is>
      </c>
      <c r="C147" s="3" t="inlineStr">
        <is>
          <t>CL002</t>
        </is>
      </c>
      <c r="D147" s="4" t="n">
        <v>45966</v>
      </c>
      <c r="E147" s="4" t="n">
        <v>45996</v>
      </c>
      <c r="F147" s="4" t="n">
        <v>45993</v>
      </c>
      <c r="G147" s="3" t="inlineStr">
        <is>
          <t>GBP</t>
        </is>
      </c>
      <c r="H147" s="5" t="n">
        <v>100000000</v>
      </c>
      <c r="I147" s="6" t="n">
        <v>422658.84</v>
      </c>
      <c r="J147" s="3" t="inlineStr">
        <is>
          <t>GBP 100m 05.11.2025 - 05.12.2025</t>
        </is>
      </c>
      <c r="K147" s="3">
        <f>E147-D147</f>
        <v/>
      </c>
      <c r="L147" s="7">
        <f>IF(K147&gt;0, I147/H147*360/K147, 0)</f>
        <v/>
      </c>
      <c r="M147" s="3">
        <f>AND(TODAY()&gt;=D147, TODAY()&lt;E147)</f>
        <v/>
      </c>
    </row>
    <row r="148">
      <c r="A148" s="3" t="inlineStr">
        <is>
          <t>FV0144</t>
        </is>
      </c>
      <c r="B148" s="3" t="inlineStr">
        <is>
          <t>Bank C</t>
        </is>
      </c>
      <c r="C148" s="3" t="inlineStr">
        <is>
          <t>CL003</t>
        </is>
      </c>
      <c r="D148" s="4" t="n">
        <v>45965</v>
      </c>
      <c r="E148" s="4" t="n">
        <v>45995</v>
      </c>
      <c r="F148" s="4" t="n">
        <v>45992</v>
      </c>
      <c r="G148" s="3" t="inlineStr">
        <is>
          <t>USD</t>
        </is>
      </c>
      <c r="H148" s="5" t="n">
        <v>100000000</v>
      </c>
      <c r="I148" s="6" t="n">
        <v>419934.86</v>
      </c>
      <c r="J148" s="3" t="inlineStr">
        <is>
          <t>USD 100m 04.11.2025 - 04.12.2025</t>
        </is>
      </c>
      <c r="K148" s="3">
        <f>E148-D148</f>
        <v/>
      </c>
      <c r="L148" s="7">
        <f>IF(K148&gt;0, I148/H148*360/K148, 0)</f>
        <v/>
      </c>
      <c r="M148" s="3">
        <f>AND(TODAY()&gt;=D148, TODAY()&lt;E148)</f>
        <v/>
      </c>
    </row>
    <row r="149">
      <c r="A149" s="3" t="inlineStr">
        <is>
          <t>FV0145</t>
        </is>
      </c>
      <c r="B149" s="3" t="inlineStr">
        <is>
          <t>Bank A</t>
        </is>
      </c>
      <c r="C149" s="3" t="inlineStr">
        <is>
          <t>CL001</t>
        </is>
      </c>
      <c r="D149" s="4" t="n">
        <v>45964</v>
      </c>
      <c r="E149" s="4" t="n">
        <v>45994</v>
      </c>
      <c r="F149" s="4" t="n">
        <v>45989</v>
      </c>
      <c r="G149" s="3" t="inlineStr">
        <is>
          <t>EUR</t>
        </is>
      </c>
      <c r="H149" s="5" t="n">
        <v>10000000</v>
      </c>
      <c r="I149" s="6" t="n">
        <v>26255.15</v>
      </c>
      <c r="J149" s="3" t="inlineStr">
        <is>
          <t>EUR 10m 03.11.2025 - 03.12.2025</t>
        </is>
      </c>
      <c r="K149" s="3">
        <f>E149-D149</f>
        <v/>
      </c>
      <c r="L149" s="7">
        <f>IF(K149&gt;0, I149/H149*360/K149, 0)</f>
        <v/>
      </c>
      <c r="M149" s="3">
        <f>AND(TODAY()&gt;=D149, TODAY()&lt;E149)</f>
        <v/>
      </c>
    </row>
    <row r="150">
      <c r="A150" s="3" t="inlineStr">
        <is>
          <t>FV0146</t>
        </is>
      </c>
      <c r="B150" s="3" t="inlineStr">
        <is>
          <t>Bank C</t>
        </is>
      </c>
      <c r="C150" s="3" t="inlineStr">
        <is>
          <t>CL003</t>
        </is>
      </c>
      <c r="D150" s="4" t="n">
        <v>45964</v>
      </c>
      <c r="E150" s="4" t="n">
        <v>45994</v>
      </c>
      <c r="F150" s="4" t="n">
        <v>45989</v>
      </c>
      <c r="G150" s="3" t="inlineStr">
        <is>
          <t>USD</t>
        </is>
      </c>
      <c r="H150" s="5" t="n">
        <v>10000000</v>
      </c>
      <c r="I150" s="6" t="n">
        <v>38431.87</v>
      </c>
      <c r="J150" s="3" t="inlineStr">
        <is>
          <t>USD 10m 03.11.2025 - 03.12.2025</t>
        </is>
      </c>
      <c r="K150" s="3">
        <f>E150-D150</f>
        <v/>
      </c>
      <c r="L150" s="7">
        <f>IF(K150&gt;0, I150/H150*360/K150, 0)</f>
        <v/>
      </c>
      <c r="M150" s="3">
        <f>AND(TODAY()&gt;=D150, TODAY()&lt;E150)</f>
        <v/>
      </c>
    </row>
    <row r="151">
      <c r="A151" s="3" t="inlineStr">
        <is>
          <t>FV0147</t>
        </is>
      </c>
      <c r="B151" s="3" t="inlineStr">
        <is>
          <t>Bank A</t>
        </is>
      </c>
      <c r="C151" s="3" t="inlineStr">
        <is>
          <t>CL001</t>
        </is>
      </c>
      <c r="D151" s="4" t="n">
        <v>45966</v>
      </c>
      <c r="E151" s="4" t="n">
        <v>45996</v>
      </c>
      <c r="F151" s="4" t="n">
        <v>45993</v>
      </c>
      <c r="G151" s="3" t="inlineStr">
        <is>
          <t>CHF</t>
        </is>
      </c>
      <c r="H151" s="5" t="n">
        <v>10000000</v>
      </c>
      <c r="I151" s="6" t="n">
        <v>14294.6</v>
      </c>
      <c r="J151" s="3" t="inlineStr">
        <is>
          <t>CHF 10m 05.11.2025 - 05.12.2025</t>
        </is>
      </c>
      <c r="K151" s="3">
        <f>E151-D151</f>
        <v/>
      </c>
      <c r="L151" s="7">
        <f>IF(K151&gt;0, I151/H151*360/K151, 0)</f>
        <v/>
      </c>
      <c r="M151" s="3">
        <f>AND(TODAY()&gt;=D151, TODAY()&lt;E151)</f>
        <v/>
      </c>
    </row>
    <row r="152">
      <c r="A152" s="3" t="inlineStr">
        <is>
          <t>FV0148</t>
        </is>
      </c>
      <c r="B152" s="3" t="inlineStr">
        <is>
          <t>Bank D</t>
        </is>
      </c>
      <c r="C152" s="3" t="inlineStr">
        <is>
          <t>CL004</t>
        </is>
      </c>
      <c r="D152" s="4" t="n">
        <v>45964</v>
      </c>
      <c r="E152" s="4" t="n">
        <v>45994</v>
      </c>
      <c r="F152" s="4" t="n">
        <v>45989</v>
      </c>
      <c r="G152" s="3" t="inlineStr">
        <is>
          <t>EUR</t>
        </is>
      </c>
      <c r="H152" s="5" t="n">
        <v>10000000</v>
      </c>
      <c r="I152" s="6" t="n">
        <v>22881.05</v>
      </c>
      <c r="J152" s="3" t="inlineStr">
        <is>
          <t>EUR 10m 03.11.2025 - 03.12.2025</t>
        </is>
      </c>
      <c r="K152" s="3">
        <f>E152-D152</f>
        <v/>
      </c>
      <c r="L152" s="7">
        <f>IF(K152&gt;0, I152/H152*360/K152, 0)</f>
        <v/>
      </c>
      <c r="M152" s="3">
        <f>AND(TODAY()&gt;=D152, TODAY()&lt;E152)</f>
        <v/>
      </c>
    </row>
    <row r="153">
      <c r="A153" s="3" t="inlineStr">
        <is>
          <t>FV0149</t>
        </is>
      </c>
      <c r="B153" s="3" t="inlineStr">
        <is>
          <t>Bank C</t>
        </is>
      </c>
      <c r="C153" s="3" t="inlineStr">
        <is>
          <t>CL003</t>
        </is>
      </c>
      <c r="D153" s="4" t="n">
        <v>45963</v>
      </c>
      <c r="E153" s="4" t="n">
        <v>45993</v>
      </c>
      <c r="F153" s="4" t="n">
        <v>45988</v>
      </c>
      <c r="G153" s="3" t="inlineStr">
        <is>
          <t>USD</t>
        </is>
      </c>
      <c r="H153" s="5" t="n">
        <v>100000000</v>
      </c>
      <c r="I153" s="6" t="n">
        <v>432800.03</v>
      </c>
      <c r="J153" s="3" t="inlineStr">
        <is>
          <t>USD 100m 02.11.2025 - 02.12.2025</t>
        </is>
      </c>
      <c r="K153" s="3">
        <f>E153-D153</f>
        <v/>
      </c>
      <c r="L153" s="7">
        <f>IF(K153&gt;0, I153/H153*360/K153, 0)</f>
        <v/>
      </c>
      <c r="M153" s="3">
        <f>AND(TODAY()&gt;=D153, TODAY()&lt;E153)</f>
        <v/>
      </c>
    </row>
    <row r="154">
      <c r="A154" s="3" t="inlineStr">
        <is>
          <t>FV0150</t>
        </is>
      </c>
      <c r="B154" s="3" t="inlineStr">
        <is>
          <t>Bank C</t>
        </is>
      </c>
      <c r="C154" s="3" t="inlineStr">
        <is>
          <t>CL003</t>
        </is>
      </c>
      <c r="D154" s="4" t="n">
        <v>45966</v>
      </c>
      <c r="E154" s="4" t="n">
        <v>45996</v>
      </c>
      <c r="F154" s="4" t="n">
        <v>45993</v>
      </c>
      <c r="G154" s="3" t="inlineStr">
        <is>
          <t>USD</t>
        </is>
      </c>
      <c r="H154" s="5" t="n">
        <v>20000000</v>
      </c>
      <c r="I154" s="6" t="n">
        <v>74153.49000000001</v>
      </c>
      <c r="J154" s="3" t="inlineStr">
        <is>
          <t>USD 20m 05.11.2025 - 05.12.2025</t>
        </is>
      </c>
      <c r="K154" s="3">
        <f>E154-D154</f>
        <v/>
      </c>
      <c r="L154" s="7">
        <f>IF(K154&gt;0, I154/H154*360/K154, 0)</f>
        <v/>
      </c>
      <c r="M154" s="3">
        <f>AND(TODAY()&gt;=D154, TODAY()&lt;E154)</f>
        <v/>
      </c>
    </row>
    <row r="155">
      <c r="A155" s="3" t="inlineStr">
        <is>
          <t>FV0151</t>
        </is>
      </c>
      <c r="B155" s="3" t="inlineStr">
        <is>
          <t>Bank B</t>
        </is>
      </c>
      <c r="C155" s="3" t="inlineStr">
        <is>
          <t>CL002</t>
        </is>
      </c>
      <c r="D155" s="4" t="n">
        <v>45965</v>
      </c>
      <c r="E155" s="4" t="n">
        <v>45995</v>
      </c>
      <c r="F155" s="4" t="n">
        <v>45992</v>
      </c>
      <c r="G155" s="3" t="inlineStr">
        <is>
          <t>GBP</t>
        </is>
      </c>
      <c r="H155" s="5" t="n">
        <v>20000000</v>
      </c>
      <c r="I155" s="6" t="n">
        <v>82621.39</v>
      </c>
      <c r="J155" s="3" t="inlineStr">
        <is>
          <t>GBP 20m 04.11.2025 - 04.12.2025</t>
        </is>
      </c>
      <c r="K155" s="3">
        <f>E155-D155</f>
        <v/>
      </c>
      <c r="L155" s="7">
        <f>IF(K155&gt;0, I155/H155*360/K155, 0)</f>
        <v/>
      </c>
      <c r="M155" s="3">
        <f>AND(TODAY()&gt;=D155, TODAY()&lt;E155)</f>
        <v/>
      </c>
    </row>
    <row r="156">
      <c r="A156" s="3" t="inlineStr">
        <is>
          <t>FV0152</t>
        </is>
      </c>
      <c r="B156" s="3" t="inlineStr">
        <is>
          <t>Bank A</t>
        </is>
      </c>
      <c r="C156" s="3" t="inlineStr">
        <is>
          <t>CL001</t>
        </is>
      </c>
      <c r="D156" s="4" t="n">
        <v>45965</v>
      </c>
      <c r="E156" s="4" t="n">
        <v>45995</v>
      </c>
      <c r="F156" s="4" t="n">
        <v>45992</v>
      </c>
      <c r="G156" s="3" t="inlineStr">
        <is>
          <t>CHF</t>
        </is>
      </c>
      <c r="H156" s="5" t="n">
        <v>20000000</v>
      </c>
      <c r="I156" s="6" t="n">
        <v>30275.51</v>
      </c>
      <c r="J156" s="3" t="inlineStr">
        <is>
          <t>CHF 20m 04.11.2025 - 04.12.2025</t>
        </is>
      </c>
      <c r="K156" s="3">
        <f>E156-D156</f>
        <v/>
      </c>
      <c r="L156" s="7">
        <f>IF(K156&gt;0, I156/H156*360/K156, 0)</f>
        <v/>
      </c>
      <c r="M156" s="3">
        <f>AND(TODAY()&gt;=D156, TODAY()&lt;E156)</f>
        <v/>
      </c>
    </row>
    <row r="157">
      <c r="A157" s="3" t="inlineStr">
        <is>
          <t>FV0153</t>
        </is>
      </c>
      <c r="B157" s="3" t="inlineStr">
        <is>
          <t>Bank C</t>
        </is>
      </c>
      <c r="C157" s="3" t="inlineStr">
        <is>
          <t>CL003</t>
        </is>
      </c>
      <c r="D157" s="4" t="n">
        <v>45996</v>
      </c>
      <c r="E157" s="4" t="n">
        <v>46026</v>
      </c>
      <c r="F157" s="4" t="n">
        <v>46022</v>
      </c>
      <c r="G157" s="3" t="inlineStr">
        <is>
          <t>EUR</t>
        </is>
      </c>
      <c r="H157" s="5" t="n">
        <v>10000000</v>
      </c>
      <c r="I157" s="6" t="n">
        <v>26886.78</v>
      </c>
      <c r="J157" s="3" t="inlineStr">
        <is>
          <t>EUR 10m 05.12.2025 - 04.01.2026</t>
        </is>
      </c>
      <c r="K157" s="3">
        <f>E157-D157</f>
        <v/>
      </c>
      <c r="L157" s="7">
        <f>IF(K157&gt;0, I157/H157*360/K157, 0)</f>
        <v/>
      </c>
      <c r="M157" s="3">
        <f>AND(TODAY()&gt;=D157, TODAY()&lt;E157)</f>
        <v/>
      </c>
    </row>
    <row r="158">
      <c r="A158" s="3" t="inlineStr">
        <is>
          <t>FV0154</t>
        </is>
      </c>
      <c r="B158" s="3" t="inlineStr">
        <is>
          <t>Bank D</t>
        </is>
      </c>
      <c r="C158" s="3" t="inlineStr">
        <is>
          <t>CL004</t>
        </is>
      </c>
      <c r="D158" s="4" t="n">
        <v>45996</v>
      </c>
      <c r="E158" s="4" t="n">
        <v>46026</v>
      </c>
      <c r="F158" s="4" t="n">
        <v>46022</v>
      </c>
      <c r="G158" s="3" t="inlineStr">
        <is>
          <t>EUR</t>
        </is>
      </c>
      <c r="H158" s="5" t="n">
        <v>100000000</v>
      </c>
      <c r="I158" s="6" t="n">
        <v>208044.19</v>
      </c>
      <c r="J158" s="3" t="inlineStr">
        <is>
          <t>EUR 100m 05.12.2025 - 04.01.2026</t>
        </is>
      </c>
      <c r="K158" s="3">
        <f>E158-D158</f>
        <v/>
      </c>
      <c r="L158" s="7">
        <f>IF(K158&gt;0, I158/H158*360/K158, 0)</f>
        <v/>
      </c>
      <c r="M158" s="3">
        <f>AND(TODAY()&gt;=D158, TODAY()&lt;E158)</f>
        <v/>
      </c>
    </row>
    <row r="159">
      <c r="A159" s="3" t="inlineStr">
        <is>
          <t>FV0155</t>
        </is>
      </c>
      <c r="B159" s="3" t="inlineStr">
        <is>
          <t>Bank A</t>
        </is>
      </c>
      <c r="C159" s="3" t="inlineStr">
        <is>
          <t>CL001</t>
        </is>
      </c>
      <c r="D159" s="4" t="n">
        <v>45997</v>
      </c>
      <c r="E159" s="4" t="n">
        <v>46027</v>
      </c>
      <c r="F159" s="4" t="n">
        <v>46022</v>
      </c>
      <c r="G159" s="3" t="inlineStr">
        <is>
          <t>GBP</t>
        </is>
      </c>
      <c r="H159" s="5" t="n">
        <v>50000000</v>
      </c>
      <c r="I159" s="6" t="n">
        <v>172938.13</v>
      </c>
      <c r="J159" s="3" t="inlineStr">
        <is>
          <t>GBP 50m 06.12.2025 - 05.01.2026</t>
        </is>
      </c>
      <c r="K159" s="3">
        <f>E159-D159</f>
        <v/>
      </c>
      <c r="L159" s="7">
        <f>IF(K159&gt;0, I159/H159*360/K159, 0)</f>
        <v/>
      </c>
      <c r="M159" s="3">
        <f>AND(TODAY()&gt;=D159, TODAY()&lt;E159)</f>
        <v/>
      </c>
    </row>
    <row r="160">
      <c r="A160" s="3" t="inlineStr">
        <is>
          <t>FV0156</t>
        </is>
      </c>
      <c r="B160" s="3" t="inlineStr">
        <is>
          <t>Bank A</t>
        </is>
      </c>
      <c r="C160" s="3" t="inlineStr">
        <is>
          <t>CL001</t>
        </is>
      </c>
      <c r="D160" s="4" t="n">
        <v>45995</v>
      </c>
      <c r="E160" s="4" t="n">
        <v>46025</v>
      </c>
      <c r="F160" s="4" t="n">
        <v>46022</v>
      </c>
      <c r="G160" s="3" t="inlineStr">
        <is>
          <t>CHF</t>
        </is>
      </c>
      <c r="H160" s="5" t="n">
        <v>10000000</v>
      </c>
      <c r="I160" s="6" t="n">
        <v>15028.11</v>
      </c>
      <c r="J160" s="3" t="inlineStr">
        <is>
          <t>CHF 10m 04.12.2025 - 03.01.2026</t>
        </is>
      </c>
      <c r="K160" s="3">
        <f>E160-D160</f>
        <v/>
      </c>
      <c r="L160" s="7">
        <f>IF(K160&gt;0, I160/H160*360/K160, 0)</f>
        <v/>
      </c>
      <c r="M160" s="3">
        <f>AND(TODAY()&gt;=D160, TODAY()&lt;E160)</f>
        <v/>
      </c>
    </row>
    <row r="161">
      <c r="A161" s="3" t="inlineStr">
        <is>
          <t>FV0157</t>
        </is>
      </c>
      <c r="B161" s="3" t="inlineStr">
        <is>
          <t>Bank B</t>
        </is>
      </c>
      <c r="C161" s="3" t="inlineStr">
        <is>
          <t>CL002</t>
        </is>
      </c>
      <c r="D161" s="4" t="n">
        <v>45995</v>
      </c>
      <c r="E161" s="4" t="n">
        <v>46025</v>
      </c>
      <c r="F161" s="4" t="n">
        <v>46022</v>
      </c>
      <c r="G161" s="3" t="inlineStr">
        <is>
          <t>USD</t>
        </is>
      </c>
      <c r="H161" s="5" t="n">
        <v>100000000</v>
      </c>
      <c r="I161" s="6" t="n">
        <v>377994.66</v>
      </c>
      <c r="J161" s="3" t="inlineStr">
        <is>
          <t>USD 100m 04.12.2025 - 03.01.2026</t>
        </is>
      </c>
      <c r="K161" s="3">
        <f>E161-D161</f>
        <v/>
      </c>
      <c r="L161" s="7">
        <f>IF(K161&gt;0, I161/H161*360/K161, 0)</f>
        <v/>
      </c>
      <c r="M161" s="3">
        <f>AND(TODAY()&gt;=D161, TODAY()&lt;E161)</f>
        <v/>
      </c>
    </row>
    <row r="162">
      <c r="A162" s="3" t="inlineStr">
        <is>
          <t>FV0158</t>
        </is>
      </c>
      <c r="B162" s="3" t="inlineStr">
        <is>
          <t>Bank D</t>
        </is>
      </c>
      <c r="C162" s="3" t="inlineStr">
        <is>
          <t>CL004</t>
        </is>
      </c>
      <c r="D162" s="4" t="n">
        <v>45993</v>
      </c>
      <c r="E162" s="4" t="n">
        <v>46023</v>
      </c>
      <c r="F162" s="4" t="n">
        <v>46020</v>
      </c>
      <c r="G162" s="3" t="inlineStr">
        <is>
          <t>GBP</t>
        </is>
      </c>
      <c r="H162" s="5" t="n">
        <v>100000000</v>
      </c>
      <c r="I162" s="6" t="n">
        <v>371501.21</v>
      </c>
      <c r="J162" s="3" t="inlineStr">
        <is>
          <t>GBP 100m 02.12.2025 - 01.01.2026</t>
        </is>
      </c>
      <c r="K162" s="3">
        <f>E162-D162</f>
        <v/>
      </c>
      <c r="L162" s="7">
        <f>IF(K162&gt;0, I162/H162*360/K162, 0)</f>
        <v/>
      </c>
      <c r="M162" s="3">
        <f>AND(TODAY()&gt;=D162, TODAY()&lt;E162)</f>
        <v/>
      </c>
    </row>
    <row r="163">
      <c r="A163" s="3" t="inlineStr">
        <is>
          <t>FV0159</t>
        </is>
      </c>
      <c r="B163" s="3" t="inlineStr">
        <is>
          <t>Bank D</t>
        </is>
      </c>
      <c r="C163" s="3" t="inlineStr">
        <is>
          <t>CL004</t>
        </is>
      </c>
      <c r="D163" s="4" t="n">
        <v>45993</v>
      </c>
      <c r="E163" s="4" t="n">
        <v>46023</v>
      </c>
      <c r="F163" s="4" t="n">
        <v>46020</v>
      </c>
      <c r="G163" s="3" t="inlineStr">
        <is>
          <t>EUR</t>
        </is>
      </c>
      <c r="H163" s="5" t="n">
        <v>50000000</v>
      </c>
      <c r="I163" s="6" t="n">
        <v>142886.65</v>
      </c>
      <c r="J163" s="3" t="inlineStr">
        <is>
          <t>EUR 50m 02.12.2025 - 01.01.2026</t>
        </is>
      </c>
      <c r="K163" s="3">
        <f>E163-D163</f>
        <v/>
      </c>
      <c r="L163" s="7">
        <f>IF(K163&gt;0, I163/H163*360/K163, 0)</f>
        <v/>
      </c>
      <c r="M163" s="3">
        <f>AND(TODAY()&gt;=D163, TODAY()&lt;E163)</f>
        <v/>
      </c>
    </row>
    <row r="164">
      <c r="A164" s="3" t="inlineStr">
        <is>
          <t>FV0160</t>
        </is>
      </c>
      <c r="B164" s="3" t="inlineStr">
        <is>
          <t>Bank C</t>
        </is>
      </c>
      <c r="C164" s="3" t="inlineStr">
        <is>
          <t>CL003</t>
        </is>
      </c>
      <c r="D164" s="4" t="n">
        <v>45995</v>
      </c>
      <c r="E164" s="4" t="n">
        <v>46025</v>
      </c>
      <c r="F164" s="4" t="n">
        <v>46022</v>
      </c>
      <c r="G164" s="3" t="inlineStr">
        <is>
          <t>EUR</t>
        </is>
      </c>
      <c r="H164" s="5" t="n">
        <v>100000000</v>
      </c>
      <c r="I164" s="6" t="n">
        <v>266258.35</v>
      </c>
      <c r="J164" s="3" t="inlineStr">
        <is>
          <t>EUR 100m 04.12.2025 - 03.01.2026</t>
        </is>
      </c>
      <c r="K164" s="3">
        <f>E164-D164</f>
        <v/>
      </c>
      <c r="L164" s="7">
        <f>IF(K164&gt;0, I164/H164*360/K164, 0)</f>
        <v/>
      </c>
      <c r="M164" s="3">
        <f>AND(TODAY()&gt;=D164, TODAY()&lt;E164)</f>
        <v/>
      </c>
    </row>
    <row r="165">
      <c r="A165" s="3" t="inlineStr">
        <is>
          <t>FV0161</t>
        </is>
      </c>
      <c r="B165" s="3" t="inlineStr">
        <is>
          <t>Bank D</t>
        </is>
      </c>
      <c r="C165" s="3" t="inlineStr">
        <is>
          <t>CL004</t>
        </is>
      </c>
      <c r="D165" s="4" t="n">
        <v>45996</v>
      </c>
      <c r="E165" s="4" t="n">
        <v>46026</v>
      </c>
      <c r="F165" s="4" t="n">
        <v>46022</v>
      </c>
      <c r="G165" s="3" t="inlineStr">
        <is>
          <t>GBP</t>
        </is>
      </c>
      <c r="H165" s="5" t="n">
        <v>10000000</v>
      </c>
      <c r="I165" s="6" t="n">
        <v>32694.03</v>
      </c>
      <c r="J165" s="3" t="inlineStr">
        <is>
          <t>GBP 10m 05.12.2025 - 04.01.2026</t>
        </is>
      </c>
      <c r="K165" s="3">
        <f>E165-D165</f>
        <v/>
      </c>
      <c r="L165" s="7">
        <f>IF(K165&gt;0, I165/H165*360/K165, 0)</f>
        <v/>
      </c>
      <c r="M165" s="3">
        <f>AND(TODAY()&gt;=D165, TODAY()&lt;E165)</f>
        <v/>
      </c>
    </row>
    <row r="166">
      <c r="A166" s="3" t="inlineStr">
        <is>
          <t>FV0162</t>
        </is>
      </c>
      <c r="B166" s="3" t="inlineStr">
        <is>
          <t>Bank C</t>
        </is>
      </c>
      <c r="C166" s="3" t="inlineStr">
        <is>
          <t>CL003</t>
        </is>
      </c>
      <c r="D166" s="4" t="n">
        <v>45996</v>
      </c>
      <c r="E166" s="4" t="n">
        <v>46026</v>
      </c>
      <c r="F166" s="4" t="n">
        <v>46022</v>
      </c>
      <c r="G166" s="3" t="inlineStr">
        <is>
          <t>EUR</t>
        </is>
      </c>
      <c r="H166" s="5" t="n">
        <v>10000000</v>
      </c>
      <c r="I166" s="6" t="n">
        <v>28649.11</v>
      </c>
      <c r="J166" s="3" t="inlineStr">
        <is>
          <t>EUR 10m 05.12.2025 - 04.01.2026</t>
        </is>
      </c>
      <c r="K166" s="3">
        <f>E166-D166</f>
        <v/>
      </c>
      <c r="L166" s="7">
        <f>IF(K166&gt;0, I166/H166*360/K166, 0)</f>
        <v/>
      </c>
      <c r="M166" s="3">
        <f>AND(TODAY()&gt;=D166, TODAY()&lt;E166)</f>
        <v/>
      </c>
    </row>
    <row r="167">
      <c r="A167" s="3" t="inlineStr">
        <is>
          <t>FV0163</t>
        </is>
      </c>
      <c r="B167" s="3" t="inlineStr">
        <is>
          <t>Bank A</t>
        </is>
      </c>
      <c r="C167" s="3" t="inlineStr">
        <is>
          <t>CL001</t>
        </is>
      </c>
      <c r="D167" s="4" t="n">
        <v>45996</v>
      </c>
      <c r="E167" s="4" t="n">
        <v>46026</v>
      </c>
      <c r="F167" s="4" t="n">
        <v>46022</v>
      </c>
      <c r="G167" s="3" t="inlineStr">
        <is>
          <t>EUR</t>
        </is>
      </c>
      <c r="H167" s="5" t="n">
        <v>100000000</v>
      </c>
      <c r="I167" s="6" t="n">
        <v>205420.41</v>
      </c>
      <c r="J167" s="3" t="inlineStr">
        <is>
          <t>EUR 100m 05.12.2025 - 04.01.2026</t>
        </is>
      </c>
      <c r="K167" s="3">
        <f>E167-D167</f>
        <v/>
      </c>
      <c r="L167" s="7">
        <f>IF(K167&gt;0, I167/H167*360/K167, 0)</f>
        <v/>
      </c>
      <c r="M167" s="3">
        <f>AND(TODAY()&gt;=D167, TODAY()&lt;E167)</f>
        <v/>
      </c>
    </row>
    <row r="168">
      <c r="A168" s="3" t="inlineStr">
        <is>
          <t>FV0164</t>
        </is>
      </c>
      <c r="B168" s="3" t="inlineStr">
        <is>
          <t>Bank C</t>
        </is>
      </c>
      <c r="C168" s="3" t="inlineStr">
        <is>
          <t>CL003</t>
        </is>
      </c>
      <c r="D168" s="4" t="n">
        <v>45996</v>
      </c>
      <c r="E168" s="4" t="n">
        <v>46026</v>
      </c>
      <c r="F168" s="4" t="n">
        <v>46022</v>
      </c>
      <c r="G168" s="3" t="inlineStr">
        <is>
          <t>USD</t>
        </is>
      </c>
      <c r="H168" s="5" t="n">
        <v>100000000</v>
      </c>
      <c r="I168" s="6" t="n">
        <v>440665.64</v>
      </c>
      <c r="J168" s="3" t="inlineStr">
        <is>
          <t>USD 100m 05.12.2025 - 04.01.2026</t>
        </is>
      </c>
      <c r="K168" s="3">
        <f>E168-D168</f>
        <v/>
      </c>
      <c r="L168" s="7">
        <f>IF(K168&gt;0, I168/H168*360/K168, 0)</f>
        <v/>
      </c>
      <c r="M168" s="3">
        <f>AND(TODAY()&gt;=D168, TODAY()&lt;E168)</f>
        <v/>
      </c>
    </row>
    <row r="169">
      <c r="A169" s="3" t="inlineStr">
        <is>
          <t>FV0165</t>
        </is>
      </c>
      <c r="B169" s="3" t="inlineStr">
        <is>
          <t>Bank B</t>
        </is>
      </c>
      <c r="C169" s="3" t="inlineStr">
        <is>
          <t>CL002</t>
        </is>
      </c>
      <c r="D169" s="4" t="n">
        <v>45995</v>
      </c>
      <c r="E169" s="4" t="n">
        <v>46025</v>
      </c>
      <c r="F169" s="4" t="n">
        <v>46022</v>
      </c>
      <c r="G169" s="3" t="inlineStr">
        <is>
          <t>USD</t>
        </is>
      </c>
      <c r="H169" s="5" t="n">
        <v>20000000</v>
      </c>
      <c r="I169" s="6" t="n">
        <v>81159.17999999999</v>
      </c>
      <c r="J169" s="3" t="inlineStr">
        <is>
          <t>USD 20m 04.12.2025 - 03.01.2026</t>
        </is>
      </c>
      <c r="K169" s="3">
        <f>E169-D169</f>
        <v/>
      </c>
      <c r="L169" s="7">
        <f>IF(K169&gt;0, I169/H169*360/K169, 0)</f>
        <v/>
      </c>
      <c r="M169" s="3">
        <f>AND(TODAY()&gt;=D169, TODAY()&lt;E169)</f>
        <v/>
      </c>
    </row>
    <row r="170">
      <c r="A170" s="3" t="inlineStr">
        <is>
          <t>FV0166</t>
        </is>
      </c>
      <c r="B170" s="3" t="inlineStr">
        <is>
          <t>Bank D</t>
        </is>
      </c>
      <c r="C170" s="3" t="inlineStr">
        <is>
          <t>CL004</t>
        </is>
      </c>
      <c r="D170" s="4" t="n">
        <v>45997</v>
      </c>
      <c r="E170" s="4" t="n">
        <v>46027</v>
      </c>
      <c r="F170" s="4" t="n">
        <v>46022</v>
      </c>
      <c r="G170" s="3" t="inlineStr">
        <is>
          <t>USD</t>
        </is>
      </c>
      <c r="H170" s="5" t="n">
        <v>10000000</v>
      </c>
      <c r="I170" s="6" t="n">
        <v>44492.57</v>
      </c>
      <c r="J170" s="3" t="inlineStr">
        <is>
          <t>USD 10m 06.12.2025 - 05.01.2026</t>
        </is>
      </c>
      <c r="K170" s="3">
        <f>E170-D170</f>
        <v/>
      </c>
      <c r="L170" s="7">
        <f>IF(K170&gt;0, I170/H170*360/K170, 0)</f>
        <v/>
      </c>
      <c r="M170" s="3">
        <f>AND(TODAY()&gt;=D170, TODAY()&lt;E170)</f>
        <v/>
      </c>
    </row>
    <row r="171">
      <c r="A171" s="3" t="inlineStr">
        <is>
          <t>FV0167</t>
        </is>
      </c>
      <c r="B171" s="3" t="inlineStr">
        <is>
          <t>Bank B</t>
        </is>
      </c>
      <c r="C171" s="3" t="inlineStr">
        <is>
          <t>CL002</t>
        </is>
      </c>
      <c r="D171" s="4" t="n">
        <v>45997</v>
      </c>
      <c r="E171" s="4" t="n">
        <v>46027</v>
      </c>
      <c r="F171" s="4" t="n">
        <v>46022</v>
      </c>
      <c r="G171" s="3" t="inlineStr">
        <is>
          <t>USD</t>
        </is>
      </c>
      <c r="H171" s="5" t="n">
        <v>10000000</v>
      </c>
      <c r="I171" s="6" t="n">
        <v>40253.23</v>
      </c>
      <c r="J171" s="3" t="inlineStr">
        <is>
          <t>USD 10m 06.12.2025 - 05.01.2026</t>
        </is>
      </c>
      <c r="K171" s="3">
        <f>E171-D171</f>
        <v/>
      </c>
      <c r="L171" s="7">
        <f>IF(K171&gt;0, I171/H171*360/K171, 0)</f>
        <v/>
      </c>
      <c r="M171" s="3">
        <f>AND(TODAY()&gt;=D171, TODAY()&lt;E171)</f>
        <v/>
      </c>
    </row>
    <row r="172">
      <c r="A172" s="3" t="inlineStr">
        <is>
          <t>FV0168</t>
        </is>
      </c>
      <c r="B172" s="3" t="inlineStr">
        <is>
          <t>Bank B</t>
        </is>
      </c>
      <c r="C172" s="3" t="inlineStr">
        <is>
          <t>CL002</t>
        </is>
      </c>
      <c r="D172" s="4" t="n">
        <v>45993</v>
      </c>
      <c r="E172" s="4" t="n">
        <v>46023</v>
      </c>
      <c r="F172" s="4" t="n">
        <v>46020</v>
      </c>
      <c r="G172" s="3" t="inlineStr">
        <is>
          <t>EUR</t>
        </is>
      </c>
      <c r="H172" s="5" t="n">
        <v>100000000</v>
      </c>
      <c r="I172" s="6" t="n">
        <v>264770.97</v>
      </c>
      <c r="J172" s="3" t="inlineStr">
        <is>
          <t>EUR 100m 02.12.2025 - 01.01.2026</t>
        </is>
      </c>
      <c r="K172" s="3">
        <f>E172-D172</f>
        <v/>
      </c>
      <c r="L172" s="7">
        <f>IF(K172&gt;0, I172/H172*360/K172, 0)</f>
        <v/>
      </c>
      <c r="M172" s="3">
        <f>AND(TODAY()&gt;=D172, TODAY()&lt;E172)</f>
        <v/>
      </c>
    </row>
    <row r="173">
      <c r="A173" s="3" t="inlineStr">
        <is>
          <t>FV0169</t>
        </is>
      </c>
      <c r="B173" s="3" t="inlineStr">
        <is>
          <t>Bank D</t>
        </is>
      </c>
      <c r="C173" s="3" t="inlineStr">
        <is>
          <t>CL004</t>
        </is>
      </c>
      <c r="D173" s="4" t="n">
        <v>46027</v>
      </c>
      <c r="E173" s="4" t="n">
        <v>46057</v>
      </c>
      <c r="F173" s="4" t="n">
        <v>46052</v>
      </c>
      <c r="G173" s="3" t="inlineStr">
        <is>
          <t>GBP</t>
        </is>
      </c>
      <c r="H173" s="5" t="n">
        <v>50000000</v>
      </c>
      <c r="I173" s="6" t="n">
        <v>199482.35</v>
      </c>
      <c r="J173" s="3" t="inlineStr">
        <is>
          <t>GBP 50m 05.01.2026 - 04.02.2026</t>
        </is>
      </c>
      <c r="K173" s="3">
        <f>E173-D173</f>
        <v/>
      </c>
      <c r="L173" s="7">
        <f>IF(K173&gt;0, I173/H173*360/K173, 0)</f>
        <v/>
      </c>
      <c r="M173" s="3">
        <f>AND(TODAY()&gt;=D173, TODAY()&lt;E173)</f>
        <v/>
      </c>
    </row>
    <row r="174">
      <c r="A174" s="3" t="inlineStr">
        <is>
          <t>FV0170</t>
        </is>
      </c>
      <c r="B174" s="3" t="inlineStr">
        <is>
          <t>Bank D</t>
        </is>
      </c>
      <c r="C174" s="3" t="inlineStr">
        <is>
          <t>CL004</t>
        </is>
      </c>
      <c r="D174" s="4" t="n">
        <v>46024</v>
      </c>
      <c r="E174" s="4" t="n">
        <v>46054</v>
      </c>
      <c r="F174" s="4" t="n">
        <v>46050</v>
      </c>
      <c r="G174" s="3" t="inlineStr">
        <is>
          <t>EUR</t>
        </is>
      </c>
      <c r="H174" s="5" t="n">
        <v>100000000</v>
      </c>
      <c r="I174" s="6" t="n">
        <v>245678.65</v>
      </c>
      <c r="J174" s="3" t="inlineStr">
        <is>
          <t>EUR 100m 02.01.2026 - 01.02.2026</t>
        </is>
      </c>
      <c r="K174" s="3">
        <f>E174-D174</f>
        <v/>
      </c>
      <c r="L174" s="7">
        <f>IF(K174&gt;0, I174/H174*360/K174, 0)</f>
        <v/>
      </c>
      <c r="M174" s="3">
        <f>AND(TODAY()&gt;=D174, TODAY()&lt;E174)</f>
        <v/>
      </c>
    </row>
    <row r="175">
      <c r="A175" s="3" t="inlineStr">
        <is>
          <t>FV0171</t>
        </is>
      </c>
      <c r="B175" s="3" t="inlineStr">
        <is>
          <t>Bank B</t>
        </is>
      </c>
      <c r="C175" s="3" t="inlineStr">
        <is>
          <t>CL002</t>
        </is>
      </c>
      <c r="D175" s="4" t="n">
        <v>46027</v>
      </c>
      <c r="E175" s="4" t="n">
        <v>46057</v>
      </c>
      <c r="F175" s="4" t="n">
        <v>46052</v>
      </c>
      <c r="G175" s="3" t="inlineStr">
        <is>
          <t>USD</t>
        </is>
      </c>
      <c r="H175" s="5" t="n">
        <v>20000000</v>
      </c>
      <c r="I175" s="6" t="n">
        <v>82678.55</v>
      </c>
      <c r="J175" s="3" t="inlineStr">
        <is>
          <t>USD 20m 05.01.2026 - 04.02.2026</t>
        </is>
      </c>
      <c r="K175" s="3">
        <f>E175-D175</f>
        <v/>
      </c>
      <c r="L175" s="7">
        <f>IF(K175&gt;0, I175/H175*360/K175, 0)</f>
        <v/>
      </c>
      <c r="M175" s="3">
        <f>AND(TODAY()&gt;=D175, TODAY()&lt;E175)</f>
        <v/>
      </c>
    </row>
    <row r="176">
      <c r="A176" s="3" t="inlineStr">
        <is>
          <t>FV0172</t>
        </is>
      </c>
      <c r="B176" s="3" t="inlineStr">
        <is>
          <t>Bank B</t>
        </is>
      </c>
      <c r="C176" s="3" t="inlineStr">
        <is>
          <t>CL002</t>
        </is>
      </c>
      <c r="D176" s="4" t="n">
        <v>46026</v>
      </c>
      <c r="E176" s="4" t="n">
        <v>46056</v>
      </c>
      <c r="F176" s="4" t="n">
        <v>46051</v>
      </c>
      <c r="G176" s="3" t="inlineStr">
        <is>
          <t>EUR</t>
        </is>
      </c>
      <c r="H176" s="5" t="n">
        <v>50000000</v>
      </c>
      <c r="I176" s="6" t="n">
        <v>116993.76</v>
      </c>
      <c r="J176" s="3" t="inlineStr">
        <is>
          <t>EUR 50m 04.01.2026 - 03.02.2026</t>
        </is>
      </c>
      <c r="K176" s="3">
        <f>E176-D176</f>
        <v/>
      </c>
      <c r="L176" s="7">
        <f>IF(K176&gt;0, I176/H176*360/K176, 0)</f>
        <v/>
      </c>
      <c r="M176" s="3">
        <f>AND(TODAY()&gt;=D176, TODAY()&lt;E176)</f>
        <v/>
      </c>
    </row>
    <row r="177">
      <c r="A177" s="3" t="inlineStr">
        <is>
          <t>FV0173</t>
        </is>
      </c>
      <c r="B177" s="3" t="inlineStr">
        <is>
          <t>Bank C</t>
        </is>
      </c>
      <c r="C177" s="3" t="inlineStr">
        <is>
          <t>CL003</t>
        </is>
      </c>
      <c r="D177" s="4" t="n">
        <v>46025</v>
      </c>
      <c r="E177" s="4" t="n">
        <v>46055</v>
      </c>
      <c r="F177" s="4" t="n">
        <v>46050</v>
      </c>
      <c r="G177" s="3" t="inlineStr">
        <is>
          <t>GBP</t>
        </is>
      </c>
      <c r="H177" s="5" t="n">
        <v>50000000</v>
      </c>
      <c r="I177" s="6" t="n">
        <v>207186.1</v>
      </c>
      <c r="J177" s="3" t="inlineStr">
        <is>
          <t>GBP 50m 03.01.2026 - 02.02.2026</t>
        </is>
      </c>
      <c r="K177" s="3">
        <f>E177-D177</f>
        <v/>
      </c>
      <c r="L177" s="7">
        <f>IF(K177&gt;0, I177/H177*360/K177, 0)</f>
        <v/>
      </c>
      <c r="M177" s="3">
        <f>AND(TODAY()&gt;=D177, TODAY()&lt;E177)</f>
        <v/>
      </c>
    </row>
    <row r="178">
      <c r="A178" s="3" t="inlineStr">
        <is>
          <t>FV0174</t>
        </is>
      </c>
      <c r="B178" s="3" t="inlineStr">
        <is>
          <t>Bank D</t>
        </is>
      </c>
      <c r="C178" s="3" t="inlineStr">
        <is>
          <t>CL004</t>
        </is>
      </c>
      <c r="D178" s="4" t="n">
        <v>46027</v>
      </c>
      <c r="E178" s="4" t="n">
        <v>46057</v>
      </c>
      <c r="F178" s="4" t="n">
        <v>46052</v>
      </c>
      <c r="G178" s="3" t="inlineStr">
        <is>
          <t>USD</t>
        </is>
      </c>
      <c r="H178" s="5" t="n">
        <v>100000000</v>
      </c>
      <c r="I178" s="6" t="n">
        <v>410803.65</v>
      </c>
      <c r="J178" s="3" t="inlineStr">
        <is>
          <t>USD 100m 05.01.2026 - 04.02.2026</t>
        </is>
      </c>
      <c r="K178" s="3">
        <f>E178-D178</f>
        <v/>
      </c>
      <c r="L178" s="7">
        <f>IF(K178&gt;0, I178/H178*360/K178, 0)</f>
        <v/>
      </c>
      <c r="M178" s="3">
        <f>AND(TODAY()&gt;=D178, TODAY()&lt;E178)</f>
        <v/>
      </c>
    </row>
    <row r="179">
      <c r="A179" s="3" t="inlineStr">
        <is>
          <t>FV0175</t>
        </is>
      </c>
      <c r="B179" s="3" t="inlineStr">
        <is>
          <t>Bank C</t>
        </is>
      </c>
      <c r="C179" s="3" t="inlineStr">
        <is>
          <t>CL003</t>
        </is>
      </c>
      <c r="D179" s="4" t="n">
        <v>46026</v>
      </c>
      <c r="E179" s="4" t="n">
        <v>46056</v>
      </c>
      <c r="F179" s="4" t="n">
        <v>46051</v>
      </c>
      <c r="G179" s="3" t="inlineStr">
        <is>
          <t>USD</t>
        </is>
      </c>
      <c r="H179" s="5" t="n">
        <v>100000000</v>
      </c>
      <c r="I179" s="6" t="n">
        <v>459392.33</v>
      </c>
      <c r="J179" s="3" t="inlineStr">
        <is>
          <t>USD 100m 04.01.2026 - 03.02.2026</t>
        </is>
      </c>
      <c r="K179" s="3">
        <f>E179-D179</f>
        <v/>
      </c>
      <c r="L179" s="7">
        <f>IF(K179&gt;0, I179/H179*360/K179, 0)</f>
        <v/>
      </c>
      <c r="M179" s="3">
        <f>AND(TODAY()&gt;=D179, TODAY()&lt;E179)</f>
        <v/>
      </c>
    </row>
    <row r="180">
      <c r="A180" s="3" t="inlineStr">
        <is>
          <t>FV0176</t>
        </is>
      </c>
      <c r="B180" s="3" t="inlineStr">
        <is>
          <t>Bank B</t>
        </is>
      </c>
      <c r="C180" s="3" t="inlineStr">
        <is>
          <t>CL002</t>
        </is>
      </c>
      <c r="D180" s="4" t="n">
        <v>46027</v>
      </c>
      <c r="E180" s="4" t="n">
        <v>46057</v>
      </c>
      <c r="F180" s="4" t="n">
        <v>46052</v>
      </c>
      <c r="G180" s="3" t="inlineStr">
        <is>
          <t>GBP</t>
        </is>
      </c>
      <c r="H180" s="5" t="n">
        <v>20000000</v>
      </c>
      <c r="I180" s="6" t="n">
        <v>72269.32000000001</v>
      </c>
      <c r="J180" s="3" t="inlineStr">
        <is>
          <t>GBP 20m 05.01.2026 - 04.02.2026</t>
        </is>
      </c>
      <c r="K180" s="3">
        <f>E180-D180</f>
        <v/>
      </c>
      <c r="L180" s="7">
        <f>IF(K180&gt;0, I180/H180*360/K180, 0)</f>
        <v/>
      </c>
      <c r="M180" s="3">
        <f>AND(TODAY()&gt;=D180, TODAY()&lt;E180)</f>
        <v/>
      </c>
    </row>
    <row r="181">
      <c r="A181" s="3" t="inlineStr">
        <is>
          <t>FV0177</t>
        </is>
      </c>
      <c r="B181" s="3" t="inlineStr">
        <is>
          <t>Bank D</t>
        </is>
      </c>
      <c r="C181" s="3" t="inlineStr">
        <is>
          <t>CL004</t>
        </is>
      </c>
      <c r="D181" s="4" t="n">
        <v>46026</v>
      </c>
      <c r="E181" s="4" t="n">
        <v>46056</v>
      </c>
      <c r="F181" s="4" t="n">
        <v>46051</v>
      </c>
      <c r="G181" s="3" t="inlineStr">
        <is>
          <t>USD</t>
        </is>
      </c>
      <c r="H181" s="5" t="n">
        <v>50000000</v>
      </c>
      <c r="I181" s="6" t="n">
        <v>217366.51</v>
      </c>
      <c r="J181" s="3" t="inlineStr">
        <is>
          <t>USD 50m 04.01.2026 - 03.02.2026</t>
        </is>
      </c>
      <c r="K181" s="3">
        <f>E181-D181</f>
        <v/>
      </c>
      <c r="L181" s="7">
        <f>IF(K181&gt;0, I181/H181*360/K181, 0)</f>
        <v/>
      </c>
      <c r="M181" s="3">
        <f>AND(TODAY()&gt;=D181, TODAY()&lt;E181)</f>
        <v/>
      </c>
    </row>
    <row r="182">
      <c r="A182" s="3" t="inlineStr">
        <is>
          <t>FV0178</t>
        </is>
      </c>
      <c r="B182" s="3" t="inlineStr">
        <is>
          <t>Bank D</t>
        </is>
      </c>
      <c r="C182" s="3" t="inlineStr">
        <is>
          <t>CL004</t>
        </is>
      </c>
      <c r="D182" s="4" t="n">
        <v>46026</v>
      </c>
      <c r="E182" s="4" t="n">
        <v>46056</v>
      </c>
      <c r="F182" s="4" t="n">
        <v>46051</v>
      </c>
      <c r="G182" s="3" t="inlineStr">
        <is>
          <t>EUR</t>
        </is>
      </c>
      <c r="H182" s="5" t="n">
        <v>20000000</v>
      </c>
      <c r="I182" s="6" t="n">
        <v>59296.49</v>
      </c>
      <c r="J182" s="3" t="inlineStr">
        <is>
          <t>EUR 20m 04.01.2026 - 03.02.2026</t>
        </is>
      </c>
      <c r="K182" s="3">
        <f>E182-D182</f>
        <v/>
      </c>
      <c r="L182" s="7">
        <f>IF(K182&gt;0, I182/H182*360/K182, 0)</f>
        <v/>
      </c>
      <c r="M182" s="3">
        <f>AND(TODAY()&gt;=D182, TODAY()&lt;E182)</f>
        <v/>
      </c>
    </row>
    <row r="183">
      <c r="A183" s="3" t="inlineStr">
        <is>
          <t>FV0179</t>
        </is>
      </c>
      <c r="B183" s="3" t="inlineStr">
        <is>
          <t>Bank B</t>
        </is>
      </c>
      <c r="C183" s="3" t="inlineStr">
        <is>
          <t>CL002</t>
        </is>
      </c>
      <c r="D183" s="4" t="n">
        <v>46023</v>
      </c>
      <c r="E183" s="4" t="n">
        <v>46053</v>
      </c>
      <c r="F183" s="4" t="n">
        <v>46050</v>
      </c>
      <c r="G183" s="3" t="inlineStr">
        <is>
          <t>GBP</t>
        </is>
      </c>
      <c r="H183" s="5" t="n">
        <v>50000000</v>
      </c>
      <c r="I183" s="6" t="n">
        <v>209327.77</v>
      </c>
      <c r="J183" s="3" t="inlineStr">
        <is>
          <t>GBP 50m 01.01.2026 - 31.01.2026</t>
        </is>
      </c>
      <c r="K183" s="3">
        <f>E183-D183</f>
        <v/>
      </c>
      <c r="L183" s="7">
        <f>IF(K183&gt;0, I183/H183*360/K183, 0)</f>
        <v/>
      </c>
      <c r="M183" s="3">
        <f>AND(TODAY()&gt;=D183, TODAY()&lt;E183)</f>
        <v/>
      </c>
    </row>
    <row r="184">
      <c r="A184" s="3" t="inlineStr">
        <is>
          <t>FV0180</t>
        </is>
      </c>
      <c r="B184" s="3" t="inlineStr">
        <is>
          <t>Bank D</t>
        </is>
      </c>
      <c r="C184" s="3" t="inlineStr">
        <is>
          <t>CL004</t>
        </is>
      </c>
      <c r="D184" s="4" t="n">
        <v>46023</v>
      </c>
      <c r="E184" s="4" t="n">
        <v>46053</v>
      </c>
      <c r="F184" s="4" t="n">
        <v>46050</v>
      </c>
      <c r="G184" s="3" t="inlineStr">
        <is>
          <t>USD</t>
        </is>
      </c>
      <c r="H184" s="5" t="n">
        <v>100000000</v>
      </c>
      <c r="I184" s="6" t="n">
        <v>436598.08</v>
      </c>
      <c r="J184" s="3" t="inlineStr">
        <is>
          <t>USD 100m 01.01.2026 - 31.01.2026</t>
        </is>
      </c>
      <c r="K184" s="3">
        <f>E184-D184</f>
        <v/>
      </c>
      <c r="L184" s="7">
        <f>IF(K184&gt;0, I184/H184*360/K184, 0)</f>
        <v/>
      </c>
      <c r="M184" s="3">
        <f>AND(TODAY()&gt;=D184, TODAY()&lt;E184)</f>
        <v/>
      </c>
    </row>
    <row r="185">
      <c r="A185" s="3" t="inlineStr">
        <is>
          <t>FV0181</t>
        </is>
      </c>
      <c r="B185" s="3" t="inlineStr">
        <is>
          <t>Bank D</t>
        </is>
      </c>
      <c r="C185" s="3" t="inlineStr">
        <is>
          <t>CL004</t>
        </is>
      </c>
      <c r="D185" s="4" t="n">
        <v>46023</v>
      </c>
      <c r="E185" s="4" t="n">
        <v>46053</v>
      </c>
      <c r="F185" s="4" t="n">
        <v>46050</v>
      </c>
      <c r="G185" s="3" t="inlineStr">
        <is>
          <t>GBP</t>
        </is>
      </c>
      <c r="H185" s="5" t="n">
        <v>20000000</v>
      </c>
      <c r="I185" s="6" t="n">
        <v>74288.11</v>
      </c>
      <c r="J185" s="3" t="inlineStr">
        <is>
          <t>GBP 20m 01.01.2026 - 31.01.2026</t>
        </is>
      </c>
      <c r="K185" s="3">
        <f>E185-D185</f>
        <v/>
      </c>
      <c r="L185" s="7">
        <f>IF(K185&gt;0, I185/H185*360/K185, 0)</f>
        <v/>
      </c>
      <c r="M185" s="3">
        <f>AND(TODAY()&gt;=D185, TODAY()&lt;E185)</f>
        <v/>
      </c>
    </row>
    <row r="186">
      <c r="A186" s="3" t="inlineStr">
        <is>
          <t>FV0182</t>
        </is>
      </c>
      <c r="B186" s="3" t="inlineStr">
        <is>
          <t>Bank C</t>
        </is>
      </c>
      <c r="C186" s="3" t="inlineStr">
        <is>
          <t>CL003</t>
        </is>
      </c>
      <c r="D186" s="4" t="n">
        <v>46053</v>
      </c>
      <c r="E186" s="4" t="n">
        <v>46083</v>
      </c>
      <c r="F186" s="4" t="n">
        <v>46078</v>
      </c>
      <c r="G186" s="3" t="inlineStr">
        <is>
          <t>USD</t>
        </is>
      </c>
      <c r="H186" s="5" t="n">
        <v>100000000</v>
      </c>
      <c r="I186" s="6" t="n">
        <v>450607.91</v>
      </c>
      <c r="J186" s="3" t="inlineStr">
        <is>
          <t>USD 100m 31.01.2026 - 02.03.2026</t>
        </is>
      </c>
      <c r="K186" s="3">
        <f>E186-D186</f>
        <v/>
      </c>
      <c r="L186" s="7">
        <f>IF(K186&gt;0, I186/H186*360/K186, 0)</f>
        <v/>
      </c>
      <c r="M186" s="3">
        <f>AND(TODAY()&gt;=D186, TODAY()&lt;E186)</f>
        <v/>
      </c>
    </row>
    <row r="187">
      <c r="A187" s="3" t="inlineStr">
        <is>
          <t>FV0183</t>
        </is>
      </c>
      <c r="B187" s="3" t="inlineStr">
        <is>
          <t>Bank D</t>
        </is>
      </c>
      <c r="C187" s="3" t="inlineStr">
        <is>
          <t>CL004</t>
        </is>
      </c>
      <c r="D187" s="4" t="n">
        <v>46057</v>
      </c>
      <c r="E187" s="4" t="n">
        <v>46087</v>
      </c>
      <c r="F187" s="4" t="n">
        <v>46084</v>
      </c>
      <c r="G187" s="3" t="inlineStr">
        <is>
          <t>EUR</t>
        </is>
      </c>
      <c r="H187" s="5" t="n">
        <v>100000000</v>
      </c>
      <c r="I187" s="6" t="n">
        <v>203589.91</v>
      </c>
      <c r="J187" s="3" t="inlineStr">
        <is>
          <t>EUR 100m 04.02.2026 - 06.03.2026</t>
        </is>
      </c>
      <c r="K187" s="3">
        <f>E187-D187</f>
        <v/>
      </c>
      <c r="L187" s="7">
        <f>IF(K187&gt;0, I187/H187*360/K187, 0)</f>
        <v/>
      </c>
      <c r="M187" s="3">
        <f>AND(TODAY()&gt;=D187, TODAY()&lt;E187)</f>
        <v/>
      </c>
    </row>
    <row r="188">
      <c r="A188" s="3" t="inlineStr">
        <is>
          <t>FV0184</t>
        </is>
      </c>
      <c r="B188" s="3" t="inlineStr">
        <is>
          <t>Bank A</t>
        </is>
      </c>
      <c r="C188" s="3" t="inlineStr">
        <is>
          <t>CL001</t>
        </is>
      </c>
      <c r="D188" s="4" t="n">
        <v>46054</v>
      </c>
      <c r="E188" s="4" t="n">
        <v>46084</v>
      </c>
      <c r="F188" s="4" t="n">
        <v>46079</v>
      </c>
      <c r="G188" s="3" t="inlineStr">
        <is>
          <t>CHF</t>
        </is>
      </c>
      <c r="H188" s="5" t="n">
        <v>50000000</v>
      </c>
      <c r="I188" s="6" t="n">
        <v>80114.02</v>
      </c>
      <c r="J188" s="3" t="inlineStr">
        <is>
          <t>CHF 50m 01.02.2026 - 03.03.2026</t>
        </is>
      </c>
      <c r="K188" s="3">
        <f>E188-D188</f>
        <v/>
      </c>
      <c r="L188" s="7">
        <f>IF(K188&gt;0, I188/H188*360/K188, 0)</f>
        <v/>
      </c>
      <c r="M188" s="3">
        <f>AND(TODAY()&gt;=D188, TODAY()&lt;E188)</f>
        <v/>
      </c>
    </row>
    <row r="189">
      <c r="A189" s="3" t="inlineStr">
        <is>
          <t>FV0185</t>
        </is>
      </c>
      <c r="B189" s="3" t="inlineStr">
        <is>
          <t>Bank D</t>
        </is>
      </c>
      <c r="C189" s="3" t="inlineStr">
        <is>
          <t>CL004</t>
        </is>
      </c>
      <c r="D189" s="4" t="n">
        <v>46056</v>
      </c>
      <c r="E189" s="4" t="n">
        <v>46086</v>
      </c>
      <c r="F189" s="4" t="n">
        <v>46083</v>
      </c>
      <c r="G189" s="3" t="inlineStr">
        <is>
          <t>USD</t>
        </is>
      </c>
      <c r="H189" s="5" t="n">
        <v>10000000</v>
      </c>
      <c r="I189" s="6" t="n">
        <v>37635.62</v>
      </c>
      <c r="J189" s="3" t="inlineStr">
        <is>
          <t>USD 10m 03.02.2026 - 05.03.2026</t>
        </is>
      </c>
      <c r="K189" s="3">
        <f>E189-D189</f>
        <v/>
      </c>
      <c r="L189" s="7">
        <f>IF(K189&gt;0, I189/H189*360/K189, 0)</f>
        <v/>
      </c>
      <c r="M189" s="3">
        <f>AND(TODAY()&gt;=D189, TODAY()&lt;E189)</f>
        <v/>
      </c>
    </row>
    <row r="190">
      <c r="A190" s="3" t="inlineStr">
        <is>
          <t>FV0186</t>
        </is>
      </c>
      <c r="B190" s="3" t="inlineStr">
        <is>
          <t>Bank C</t>
        </is>
      </c>
      <c r="C190" s="3" t="inlineStr">
        <is>
          <t>CL003</t>
        </is>
      </c>
      <c r="D190" s="4" t="n">
        <v>46055</v>
      </c>
      <c r="E190" s="4" t="n">
        <v>46085</v>
      </c>
      <c r="F190" s="4" t="n">
        <v>46080</v>
      </c>
      <c r="G190" s="3" t="inlineStr">
        <is>
          <t>GBP</t>
        </is>
      </c>
      <c r="H190" s="5" t="n">
        <v>10000000</v>
      </c>
      <c r="I190" s="6" t="n">
        <v>40955.01</v>
      </c>
      <c r="J190" s="3" t="inlineStr">
        <is>
          <t>GBP 10m 02.02.2026 - 04.03.2026</t>
        </is>
      </c>
      <c r="K190" s="3">
        <f>E190-D190</f>
        <v/>
      </c>
      <c r="L190" s="7">
        <f>IF(K190&gt;0, I190/H190*360/K190, 0)</f>
        <v/>
      </c>
      <c r="M190" s="3">
        <f>AND(TODAY()&gt;=D190, TODAY()&lt;E190)</f>
        <v/>
      </c>
    </row>
    <row r="191">
      <c r="A191" s="3" t="inlineStr">
        <is>
          <t>FV0187</t>
        </is>
      </c>
      <c r="B191" s="3" t="inlineStr">
        <is>
          <t>Bank C</t>
        </is>
      </c>
      <c r="C191" s="3" t="inlineStr">
        <is>
          <t>CL003</t>
        </is>
      </c>
      <c r="D191" s="4" t="n">
        <v>46056</v>
      </c>
      <c r="E191" s="4" t="n">
        <v>46086</v>
      </c>
      <c r="F191" s="4" t="n">
        <v>46083</v>
      </c>
      <c r="G191" s="3" t="inlineStr">
        <is>
          <t>EUR</t>
        </is>
      </c>
      <c r="H191" s="5" t="n">
        <v>50000000</v>
      </c>
      <c r="I191" s="6" t="n">
        <v>107278.49</v>
      </c>
      <c r="J191" s="3" t="inlineStr">
        <is>
          <t>EUR 50m 03.02.2026 - 05.03.2026</t>
        </is>
      </c>
      <c r="K191" s="3">
        <f>E191-D191</f>
        <v/>
      </c>
      <c r="L191" s="7">
        <f>IF(K191&gt;0, I191/H191*360/K191, 0)</f>
        <v/>
      </c>
      <c r="M191" s="3">
        <f>AND(TODAY()&gt;=D191, TODAY()&lt;E191)</f>
        <v/>
      </c>
    </row>
    <row r="192">
      <c r="A192" s="3" t="inlineStr">
        <is>
          <t>FV0188</t>
        </is>
      </c>
      <c r="B192" s="3" t="inlineStr">
        <is>
          <t>Bank D</t>
        </is>
      </c>
      <c r="C192" s="3" t="inlineStr">
        <is>
          <t>CL004</t>
        </is>
      </c>
      <c r="D192" s="4" t="n">
        <v>46054</v>
      </c>
      <c r="E192" s="4" t="n">
        <v>46084</v>
      </c>
      <c r="F192" s="4" t="n">
        <v>46079</v>
      </c>
      <c r="G192" s="3" t="inlineStr">
        <is>
          <t>GBP</t>
        </is>
      </c>
      <c r="H192" s="5" t="n">
        <v>20000000</v>
      </c>
      <c r="I192" s="6" t="n">
        <v>67418.28</v>
      </c>
      <c r="J192" s="3" t="inlineStr">
        <is>
          <t>GBP 20m 01.02.2026 - 03.03.2026</t>
        </is>
      </c>
      <c r="K192" s="3">
        <f>E192-D192</f>
        <v/>
      </c>
      <c r="L192" s="7">
        <f>IF(K192&gt;0, I192/H192*360/K192, 0)</f>
        <v/>
      </c>
      <c r="M192" s="3">
        <f>AND(TODAY()&gt;=D192, TODAY()&lt;E192)</f>
        <v/>
      </c>
    </row>
    <row r="193">
      <c r="A193" s="3" t="inlineStr">
        <is>
          <t>FV0189</t>
        </is>
      </c>
      <c r="B193" s="3" t="inlineStr">
        <is>
          <t>Bank D</t>
        </is>
      </c>
      <c r="C193" s="3" t="inlineStr">
        <is>
          <t>CL004</t>
        </is>
      </c>
      <c r="D193" s="4" t="n">
        <v>46056</v>
      </c>
      <c r="E193" s="4" t="n">
        <v>46086</v>
      </c>
      <c r="F193" s="4" t="n">
        <v>46083</v>
      </c>
      <c r="G193" s="3" t="inlineStr">
        <is>
          <t>GBP</t>
        </is>
      </c>
      <c r="H193" s="5" t="n">
        <v>20000000</v>
      </c>
      <c r="I193" s="6" t="n">
        <v>84632.67999999999</v>
      </c>
      <c r="J193" s="3" t="inlineStr">
        <is>
          <t>GBP 20m 03.02.2026 - 05.03.2026</t>
        </is>
      </c>
      <c r="K193" s="3">
        <f>E193-D193</f>
        <v/>
      </c>
      <c r="L193" s="7">
        <f>IF(K193&gt;0, I193/H193*360/K193, 0)</f>
        <v/>
      </c>
      <c r="M193" s="3">
        <f>AND(TODAY()&gt;=D193, TODAY()&lt;E193)</f>
        <v/>
      </c>
    </row>
    <row r="194">
      <c r="A194" s="3" t="inlineStr">
        <is>
          <t>FV0190</t>
        </is>
      </c>
      <c r="B194" s="3" t="inlineStr">
        <is>
          <t>Bank B</t>
        </is>
      </c>
      <c r="C194" s="3" t="inlineStr">
        <is>
          <t>CL002</t>
        </is>
      </c>
      <c r="D194" s="4" t="n">
        <v>46055</v>
      </c>
      <c r="E194" s="4" t="n">
        <v>46085</v>
      </c>
      <c r="F194" s="4" t="n">
        <v>46080</v>
      </c>
      <c r="G194" s="3" t="inlineStr">
        <is>
          <t>EUR</t>
        </is>
      </c>
      <c r="H194" s="5" t="n">
        <v>100000000</v>
      </c>
      <c r="I194" s="6" t="n">
        <v>245957.05</v>
      </c>
      <c r="J194" s="3" t="inlineStr">
        <is>
          <t>EUR 100m 02.02.2026 - 04.03.2026</t>
        </is>
      </c>
      <c r="K194" s="3">
        <f>E194-D194</f>
        <v/>
      </c>
      <c r="L194" s="7">
        <f>IF(K194&gt;0, I194/H194*360/K194, 0)</f>
        <v/>
      </c>
      <c r="M194" s="3">
        <f>AND(TODAY()&gt;=D194, TODAY()&lt;E194)</f>
        <v/>
      </c>
    </row>
    <row r="195">
      <c r="A195" s="3" t="inlineStr">
        <is>
          <t>FV0191</t>
        </is>
      </c>
      <c r="B195" s="3" t="inlineStr">
        <is>
          <t>Bank A</t>
        </is>
      </c>
      <c r="C195" s="3" t="inlineStr">
        <is>
          <t>CL001</t>
        </is>
      </c>
      <c r="D195" s="4" t="n">
        <v>46057</v>
      </c>
      <c r="E195" s="4" t="n">
        <v>46087</v>
      </c>
      <c r="F195" s="4" t="n">
        <v>46084</v>
      </c>
      <c r="G195" s="3" t="inlineStr">
        <is>
          <t>GBP</t>
        </is>
      </c>
      <c r="H195" s="5" t="n">
        <v>50000000</v>
      </c>
      <c r="I195" s="6" t="n">
        <v>167548.58</v>
      </c>
      <c r="J195" s="3" t="inlineStr">
        <is>
          <t>GBP 50m 04.02.2026 - 06.03.2026</t>
        </is>
      </c>
      <c r="K195" s="3">
        <f>E195-D195</f>
        <v/>
      </c>
      <c r="L195" s="7">
        <f>IF(K195&gt;0, I195/H195*360/K195, 0)</f>
        <v/>
      </c>
      <c r="M195" s="3">
        <f>AND(TODAY()&gt;=D195, TODAY()&lt;E195)</f>
        <v/>
      </c>
    </row>
    <row r="196">
      <c r="A196" s="3" t="inlineStr">
        <is>
          <t>FV0192</t>
        </is>
      </c>
      <c r="B196" s="3" t="inlineStr">
        <is>
          <t>Bank D</t>
        </is>
      </c>
      <c r="C196" s="3" t="inlineStr">
        <is>
          <t>CL004</t>
        </is>
      </c>
      <c r="D196" s="4" t="n">
        <v>46056</v>
      </c>
      <c r="E196" s="4" t="n">
        <v>46086</v>
      </c>
      <c r="F196" s="4" t="n">
        <v>46083</v>
      </c>
      <c r="G196" s="3" t="inlineStr">
        <is>
          <t>EUR</t>
        </is>
      </c>
      <c r="H196" s="5" t="n">
        <v>50000000</v>
      </c>
      <c r="I196" s="6" t="n">
        <v>134515.68</v>
      </c>
      <c r="J196" s="3" t="inlineStr">
        <is>
          <t>EUR 50m 03.02.2026 - 05.03.2026</t>
        </is>
      </c>
      <c r="K196" s="3">
        <f>E196-D196</f>
        <v/>
      </c>
      <c r="L196" s="7">
        <f>IF(K196&gt;0, I196/H196*360/K196, 0)</f>
        <v/>
      </c>
      <c r="M196" s="3">
        <f>AND(TODAY()&gt;=D196, TODAY()&lt;E196)</f>
        <v/>
      </c>
    </row>
    <row r="197">
      <c r="A197" s="3" t="inlineStr">
        <is>
          <t>FV0193</t>
        </is>
      </c>
      <c r="B197" s="3" t="inlineStr">
        <is>
          <t>Bank D</t>
        </is>
      </c>
      <c r="C197" s="3" t="inlineStr">
        <is>
          <t>CL004</t>
        </is>
      </c>
      <c r="D197" s="4" t="n">
        <v>46056</v>
      </c>
      <c r="E197" s="4" t="n">
        <v>46086</v>
      </c>
      <c r="F197" s="4" t="n">
        <v>46083</v>
      </c>
      <c r="G197" s="3" t="inlineStr">
        <is>
          <t>EUR</t>
        </is>
      </c>
      <c r="H197" s="5" t="n">
        <v>20000000</v>
      </c>
      <c r="I197" s="6" t="n">
        <v>57066.71</v>
      </c>
      <c r="J197" s="3" t="inlineStr">
        <is>
          <t>EUR 20m 03.02.2026 - 05.03.2026</t>
        </is>
      </c>
      <c r="K197" s="3">
        <f>E197-D197</f>
        <v/>
      </c>
      <c r="L197" s="7">
        <f>IF(K197&gt;0, I197/H197*360/K197, 0)</f>
        <v/>
      </c>
      <c r="M197" s="3">
        <f>AND(TODAY()&gt;=D197, TODAY()&lt;E197)</f>
        <v/>
      </c>
    </row>
    <row r="198">
      <c r="A198" s="3" t="inlineStr">
        <is>
          <t>FV0194</t>
        </is>
      </c>
      <c r="B198" s="3" t="inlineStr">
        <is>
          <t>Bank A</t>
        </is>
      </c>
      <c r="C198" s="3" t="inlineStr">
        <is>
          <t>CL001</t>
        </is>
      </c>
      <c r="D198" s="4" t="n">
        <v>46057</v>
      </c>
      <c r="E198" s="4" t="n">
        <v>46087</v>
      </c>
      <c r="F198" s="4" t="n">
        <v>46084</v>
      </c>
      <c r="G198" s="3" t="inlineStr">
        <is>
          <t>CHF</t>
        </is>
      </c>
      <c r="H198" s="5" t="n">
        <v>100000000</v>
      </c>
      <c r="I198" s="6" t="n">
        <v>137605.95</v>
      </c>
      <c r="J198" s="3" t="inlineStr">
        <is>
          <t>CHF 100m 04.02.2026 - 06.03.2026</t>
        </is>
      </c>
      <c r="K198" s="3">
        <f>E198-D198</f>
        <v/>
      </c>
      <c r="L198" s="7">
        <f>IF(K198&gt;0, I198/H198*360/K198, 0)</f>
        <v/>
      </c>
      <c r="M198" s="3">
        <f>AND(TODAY()&gt;=D198, TODAY()&lt;E198)</f>
        <v/>
      </c>
    </row>
    <row r="199">
      <c r="A199" s="3" t="inlineStr">
        <is>
          <t>FV0195</t>
        </is>
      </c>
      <c r="B199" s="3" t="inlineStr">
        <is>
          <t>Bank C</t>
        </is>
      </c>
      <c r="C199" s="3" t="inlineStr">
        <is>
          <t>CL003</t>
        </is>
      </c>
      <c r="D199" s="4" t="n">
        <v>46053</v>
      </c>
      <c r="E199" s="4" t="n">
        <v>46083</v>
      </c>
      <c r="F199" s="4" t="n">
        <v>46078</v>
      </c>
      <c r="G199" s="3" t="inlineStr">
        <is>
          <t>USD</t>
        </is>
      </c>
      <c r="H199" s="5" t="n">
        <v>50000000</v>
      </c>
      <c r="I199" s="6" t="n">
        <v>232138.66</v>
      </c>
      <c r="J199" s="3" t="inlineStr">
        <is>
          <t>USD 50m 31.01.2026 - 02.03.2026</t>
        </is>
      </c>
      <c r="K199" s="3">
        <f>E199-D199</f>
        <v/>
      </c>
      <c r="L199" s="7">
        <f>IF(K199&gt;0, I199/H199*360/K199, 0)</f>
        <v/>
      </c>
      <c r="M199" s="3">
        <f>AND(TODAY()&gt;=D199, TODAY()&lt;E199)</f>
        <v/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0" customWidth="1" min="9" max="9"/>
  </cols>
  <sheetData>
    <row r="1">
      <c r="A1" s="1" t="inlineStr">
        <is>
          <t>CREDIT LINES</t>
        </is>
      </c>
    </row>
    <row r="4">
      <c r="A4" s="8" t="inlineStr">
        <is>
          <t>Credit Line ID</t>
        </is>
      </c>
      <c r="B4" s="8" t="inlineStr">
        <is>
          <t>BankKey</t>
        </is>
      </c>
      <c r="C4" s="8" t="inlineStr">
        <is>
          <t>Description</t>
        </is>
      </c>
      <c r="D4" s="8" t="inlineStr">
        <is>
          <t>Currency</t>
        </is>
      </c>
      <c r="E4" s="8" t="inlineStr">
        <is>
          <t>Amount</t>
        </is>
      </c>
      <c r="F4" s="8" t="inlineStr">
        <is>
          <t>Committed</t>
        </is>
      </c>
      <c r="G4" s="8" t="inlineStr">
        <is>
          <t>Start Date</t>
        </is>
      </c>
      <c r="H4" s="8" t="inlineStr">
        <is>
          <t>End Date</t>
        </is>
      </c>
      <c r="I4" s="8" t="inlineStr">
        <is>
          <t>Note</t>
        </is>
      </c>
    </row>
    <row r="5">
      <c r="A5" s="3" t="inlineStr">
        <is>
          <t>CL001</t>
        </is>
      </c>
      <c r="B5" s="3" t="inlineStr">
        <is>
          <t>B001</t>
        </is>
      </c>
      <c r="C5" s="3" t="inlineStr">
        <is>
          <t>Bank A Facility</t>
        </is>
      </c>
      <c r="D5" s="3" t="inlineStr">
        <is>
          <t>CHF</t>
        </is>
      </c>
      <c r="E5" s="5" t="n">
        <v>500000000</v>
      </c>
      <c r="F5" s="3" t="inlineStr">
        <is>
          <t>Yes</t>
        </is>
      </c>
      <c r="G5" s="4" t="n">
        <v>45292</v>
      </c>
    </row>
    <row r="6">
      <c r="A6" s="3" t="inlineStr">
        <is>
          <t>CL002</t>
        </is>
      </c>
      <c r="B6" s="3" t="inlineStr">
        <is>
          <t>B002</t>
        </is>
      </c>
      <c r="C6" s="3" t="inlineStr">
        <is>
          <t>Bank B Facility</t>
        </is>
      </c>
      <c r="D6" s="3" t="inlineStr">
        <is>
          <t>EUR</t>
        </is>
      </c>
      <c r="E6" s="5" t="n">
        <v>200000000</v>
      </c>
      <c r="F6" s="3" t="inlineStr">
        <is>
          <t>Yes</t>
        </is>
      </c>
      <c r="G6" s="4" t="n">
        <v>45292</v>
      </c>
    </row>
    <row r="7">
      <c r="A7" s="3" t="inlineStr">
        <is>
          <t>CL003</t>
        </is>
      </c>
      <c r="B7" s="3" t="inlineStr">
        <is>
          <t>B003</t>
        </is>
      </c>
      <c r="C7" s="3" t="inlineStr">
        <is>
          <t>Bank C Facility</t>
        </is>
      </c>
      <c r="D7" s="3" t="inlineStr">
        <is>
          <t>GBP</t>
        </is>
      </c>
      <c r="E7" s="5" t="n">
        <v>150000000</v>
      </c>
      <c r="F7" s="3" t="inlineStr">
        <is>
          <t>No</t>
        </is>
      </c>
      <c r="G7" s="4" t="n">
        <v>45444</v>
      </c>
    </row>
    <row r="8">
      <c r="A8" s="3" t="inlineStr">
        <is>
          <t>CL004</t>
        </is>
      </c>
      <c r="B8" s="3" t="inlineStr">
        <is>
          <t>B004</t>
        </is>
      </c>
      <c r="C8" s="3" t="inlineStr">
        <is>
          <t>Bank D Facility</t>
        </is>
      </c>
      <c r="D8" s="3" t="inlineStr">
        <is>
          <t>USD</t>
        </is>
      </c>
      <c r="E8" s="5" t="n">
        <v>300000000</v>
      </c>
      <c r="F8" s="3" t="inlineStr">
        <is>
          <t>Yes</t>
        </is>
      </c>
      <c r="G8" s="4" t="n">
        <v>45352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2026-02-13T10:01:03Z</dcterms:created>
  <dcterms:modified xmlns:dcterms="http://purl.org/dc/terms/" xmlns:xsi="http://www.w3.org/2001/XMLSchema-instance" xsi:type="dcterms:W3CDTF">2026-02-13T10:01:03Z</dcterms:modified>
</cp:coreProperties>
</file>